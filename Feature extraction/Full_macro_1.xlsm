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ish\OneDrive\Desktop\"/>
    </mc:Choice>
  </mc:AlternateContent>
  <xr:revisionPtr revIDLastSave="0" documentId="13_ncr:1_{BA581024-49A2-4816-AA88-4BB5D99F10E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HETAN_1BLINK(1)" sheetId="1" r:id="rId1"/>
    <sheet name="Classifier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2" l="1"/>
  <c r="E1" i="2"/>
  <c r="C31" i="1"/>
  <c r="C32" i="1"/>
  <c r="C33" i="1"/>
  <c r="C34" i="1"/>
  <c r="C35" i="1"/>
  <c r="C36" i="1"/>
  <c r="C37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1119" i="1"/>
  <c r="W1120" i="1"/>
  <c r="W1121" i="1"/>
  <c r="W1122" i="1"/>
  <c r="W1123" i="1"/>
  <c r="W1124" i="1"/>
  <c r="W1125" i="1"/>
  <c r="W1126" i="1"/>
  <c r="W1127" i="1"/>
  <c r="W1128" i="1"/>
  <c r="W1129" i="1"/>
  <c r="W1130" i="1"/>
  <c r="W1131" i="1"/>
  <c r="W1132" i="1"/>
  <c r="W1133" i="1"/>
  <c r="W1134" i="1"/>
  <c r="W1135" i="1"/>
  <c r="W1136" i="1"/>
  <c r="W1137" i="1"/>
  <c r="W1138" i="1"/>
  <c r="W1139" i="1"/>
  <c r="W1140" i="1"/>
  <c r="W1141" i="1"/>
  <c r="W1142" i="1"/>
  <c r="W1143" i="1"/>
  <c r="W1144" i="1"/>
  <c r="W1145" i="1"/>
  <c r="W1146" i="1"/>
  <c r="W1147" i="1"/>
  <c r="W1148" i="1"/>
  <c r="W1149" i="1"/>
  <c r="W1150" i="1"/>
  <c r="W1151" i="1"/>
  <c r="W1152" i="1"/>
  <c r="W1153" i="1"/>
  <c r="W1154" i="1"/>
  <c r="W1155" i="1"/>
  <c r="W1156" i="1"/>
  <c r="W1157" i="1"/>
  <c r="W1158" i="1"/>
  <c r="W1159" i="1"/>
  <c r="W1160" i="1"/>
  <c r="W1161" i="1"/>
  <c r="W1162" i="1"/>
  <c r="W1163" i="1"/>
  <c r="W1164" i="1"/>
  <c r="W1165" i="1"/>
  <c r="W1166" i="1"/>
  <c r="W1167" i="1"/>
  <c r="W1168" i="1"/>
  <c r="W1169" i="1"/>
  <c r="W1170" i="1"/>
  <c r="W1171" i="1"/>
  <c r="W1172" i="1"/>
  <c r="W1173" i="1"/>
  <c r="W1174" i="1"/>
  <c r="W1175" i="1"/>
  <c r="W1176" i="1"/>
  <c r="W1177" i="1"/>
  <c r="W1178" i="1"/>
  <c r="W2" i="1"/>
  <c r="T51" i="1"/>
  <c r="T52" i="1"/>
  <c r="T53" i="1"/>
  <c r="T54" i="1"/>
  <c r="T55" i="1"/>
  <c r="T56" i="1"/>
  <c r="T57" i="1"/>
  <c r="T58" i="1"/>
  <c r="T59" i="1"/>
  <c r="T60" i="1"/>
  <c r="T61" i="1"/>
  <c r="T62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9" i="1"/>
  <c r="T260" i="1"/>
  <c r="T261" i="1"/>
  <c r="T262" i="1"/>
  <c r="T263" i="1"/>
  <c r="T264" i="1"/>
  <c r="T265" i="1"/>
  <c r="T266" i="1"/>
  <c r="T267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1" i="1"/>
  <c r="T353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6" i="1"/>
  <c r="T867" i="1"/>
  <c r="T868" i="1"/>
  <c r="T869" i="1"/>
  <c r="T870" i="1"/>
  <c r="T871" i="1"/>
  <c r="T872" i="1"/>
  <c r="T873" i="1"/>
  <c r="T874" i="1"/>
  <c r="T875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4" i="1"/>
  <c r="T1115" i="1"/>
  <c r="T1116" i="1"/>
  <c r="T1117" i="1"/>
  <c r="T1118" i="1"/>
  <c r="T1119" i="1"/>
  <c r="T1120" i="1"/>
  <c r="T1121" i="1"/>
  <c r="T1122" i="1"/>
  <c r="T1124" i="1"/>
  <c r="T1125" i="1"/>
  <c r="T1126" i="1"/>
  <c r="T1127" i="1"/>
  <c r="T1128" i="1"/>
  <c r="T1129" i="1"/>
  <c r="T1130" i="1"/>
  <c r="T1131" i="1"/>
  <c r="T1132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Q3" i="1"/>
  <c r="Q4" i="1"/>
  <c r="Q5" i="1"/>
  <c r="Q6" i="1"/>
  <c r="Q7" i="1"/>
  <c r="Q8" i="1"/>
  <c r="Q9" i="1"/>
  <c r="Q10" i="1"/>
  <c r="Q11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9" i="1"/>
  <c r="Q260" i="1"/>
  <c r="Q261" i="1"/>
  <c r="Q262" i="1"/>
  <c r="Q263" i="1"/>
  <c r="Q264" i="1"/>
  <c r="Q265" i="1"/>
  <c r="Q266" i="1"/>
  <c r="Q267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1" i="1"/>
  <c r="Q353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6" i="1"/>
  <c r="Q867" i="1"/>
  <c r="Q868" i="1"/>
  <c r="Q869" i="1"/>
  <c r="Q870" i="1"/>
  <c r="Q871" i="1"/>
  <c r="Q872" i="1"/>
  <c r="Q873" i="1"/>
  <c r="Q874" i="1"/>
  <c r="Q875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4" i="1"/>
  <c r="Q1115" i="1"/>
  <c r="Q1116" i="1"/>
  <c r="Q1117" i="1"/>
  <c r="Q1118" i="1"/>
  <c r="Q1119" i="1"/>
  <c r="Q1120" i="1"/>
  <c r="Q1121" i="1"/>
  <c r="Q1122" i="1"/>
  <c r="Q1124" i="1"/>
  <c r="Q1125" i="1"/>
  <c r="Q1126" i="1"/>
  <c r="Q1127" i="1"/>
  <c r="Q1128" i="1"/>
  <c r="Q1129" i="1"/>
  <c r="Q1130" i="1"/>
  <c r="Q1131" i="1"/>
  <c r="Q1132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2" i="1"/>
  <c r="P3" i="1"/>
  <c r="P4" i="1"/>
  <c r="P5" i="1"/>
  <c r="P6" i="1"/>
  <c r="P7" i="1"/>
  <c r="P8" i="1"/>
  <c r="P9" i="1"/>
  <c r="P10" i="1"/>
  <c r="P11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9" i="1"/>
  <c r="P260" i="1"/>
  <c r="P261" i="1"/>
  <c r="P262" i="1"/>
  <c r="P263" i="1"/>
  <c r="P264" i="1"/>
  <c r="P265" i="1"/>
  <c r="P266" i="1"/>
  <c r="P267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1" i="1"/>
  <c r="P352" i="1" s="1"/>
  <c r="P353" i="1"/>
  <c r="P354" i="1" s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6" i="1"/>
  <c r="P867" i="1"/>
  <c r="P868" i="1"/>
  <c r="P869" i="1"/>
  <c r="P870" i="1"/>
  <c r="P871" i="1"/>
  <c r="P872" i="1"/>
  <c r="P873" i="1"/>
  <c r="P874" i="1"/>
  <c r="P875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4" i="1"/>
  <c r="P1115" i="1"/>
  <c r="P1116" i="1"/>
  <c r="P1117" i="1"/>
  <c r="P1118" i="1"/>
  <c r="P1119" i="1"/>
  <c r="P1120" i="1"/>
  <c r="P1121" i="1"/>
  <c r="P1122" i="1"/>
  <c r="P1124" i="1"/>
  <c r="P1125" i="1"/>
  <c r="P1126" i="1"/>
  <c r="P1127" i="1"/>
  <c r="P1128" i="1"/>
  <c r="P1129" i="1"/>
  <c r="P1130" i="1"/>
  <c r="P1131" i="1"/>
  <c r="P1132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2" i="1"/>
  <c r="L3" i="1"/>
  <c r="L4" i="1"/>
  <c r="L5" i="1"/>
  <c r="L6" i="1"/>
  <c r="L7" i="1"/>
  <c r="L8" i="1"/>
  <c r="L9" i="1"/>
  <c r="L10" i="1"/>
  <c r="L11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9" i="1"/>
  <c r="L260" i="1"/>
  <c r="L261" i="1"/>
  <c r="L262" i="1"/>
  <c r="L263" i="1"/>
  <c r="L264" i="1"/>
  <c r="L265" i="1"/>
  <c r="L266" i="1"/>
  <c r="L267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1" i="1"/>
  <c r="L353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6" i="1"/>
  <c r="L867" i="1"/>
  <c r="L868" i="1"/>
  <c r="L869" i="1"/>
  <c r="L870" i="1"/>
  <c r="L871" i="1"/>
  <c r="L872" i="1"/>
  <c r="L873" i="1"/>
  <c r="L874" i="1"/>
  <c r="L875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4" i="1"/>
  <c r="L1115" i="1"/>
  <c r="L1116" i="1"/>
  <c r="L1117" i="1"/>
  <c r="L1118" i="1"/>
  <c r="L1119" i="1"/>
  <c r="L1120" i="1"/>
  <c r="L1121" i="1"/>
  <c r="L1122" i="1"/>
  <c r="L1124" i="1"/>
  <c r="L1125" i="1"/>
  <c r="L1126" i="1"/>
  <c r="L1127" i="1"/>
  <c r="L1128" i="1"/>
  <c r="L1129" i="1"/>
  <c r="L1130" i="1"/>
  <c r="L1131" i="1"/>
  <c r="L1132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2" i="1"/>
  <c r="I3" i="1"/>
  <c r="I4" i="1"/>
  <c r="I5" i="1"/>
  <c r="I6" i="1"/>
  <c r="I7" i="1"/>
  <c r="I8" i="1"/>
  <c r="I9" i="1"/>
  <c r="I10" i="1"/>
  <c r="I11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9" i="1"/>
  <c r="I260" i="1"/>
  <c r="I261" i="1"/>
  <c r="I262" i="1"/>
  <c r="I263" i="1"/>
  <c r="I264" i="1"/>
  <c r="I265" i="1"/>
  <c r="I266" i="1"/>
  <c r="I267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1" i="1"/>
  <c r="I353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6" i="1"/>
  <c r="I867" i="1"/>
  <c r="I868" i="1"/>
  <c r="I869" i="1"/>
  <c r="I870" i="1"/>
  <c r="I871" i="1"/>
  <c r="I872" i="1"/>
  <c r="I873" i="1"/>
  <c r="I874" i="1"/>
  <c r="I875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4" i="1"/>
  <c r="I1115" i="1"/>
  <c r="I1116" i="1"/>
  <c r="I1117" i="1"/>
  <c r="I1118" i="1"/>
  <c r="I1119" i="1"/>
  <c r="I1120" i="1"/>
  <c r="I1121" i="1"/>
  <c r="I1122" i="1"/>
  <c r="I1124" i="1"/>
  <c r="I1125" i="1"/>
  <c r="I1126" i="1"/>
  <c r="I1127" i="1"/>
  <c r="I1128" i="1"/>
  <c r="I1129" i="1"/>
  <c r="I1130" i="1"/>
  <c r="I1131" i="1"/>
  <c r="I1132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2" i="1"/>
  <c r="F2" i="1"/>
  <c r="F5" i="1" s="1"/>
  <c r="C2" i="1"/>
  <c r="D5" i="1" s="1"/>
  <c r="P865" i="1" l="1"/>
  <c r="P773" i="1"/>
  <c r="P420" i="1"/>
  <c r="P187" i="1"/>
  <c r="P1178" i="1"/>
  <c r="P594" i="1"/>
  <c r="P1133" i="1"/>
  <c r="P1113" i="1"/>
  <c r="P1004" i="1"/>
  <c r="P892" i="1"/>
  <c r="P241" i="1"/>
  <c r="P1123" i="1"/>
  <c r="P928" i="1"/>
  <c r="P634" i="1"/>
  <c r="P564" i="1"/>
  <c r="P457" i="1"/>
  <c r="P383" i="1"/>
  <c r="P1049" i="1"/>
  <c r="P959" i="1"/>
  <c r="P876" i="1"/>
  <c r="P814" i="1"/>
  <c r="P730" i="1"/>
  <c r="P715" i="1"/>
  <c r="P691" i="1"/>
  <c r="P528" i="1"/>
  <c r="P513" i="1"/>
  <c r="P493" i="1"/>
  <c r="P350" i="1"/>
  <c r="P284" i="1"/>
  <c r="P94" i="1"/>
  <c r="P28" i="1"/>
  <c r="P838" i="1"/>
  <c r="P322" i="1"/>
  <c r="P268" i="1"/>
  <c r="P258" i="1"/>
  <c r="P132" i="1"/>
  <c r="P63" i="1"/>
  <c r="P12" i="1"/>
  <c r="J1165" i="1"/>
  <c r="K1165" i="1" s="1"/>
  <c r="J1157" i="1"/>
  <c r="K1157" i="1" s="1"/>
  <c r="J1149" i="1"/>
  <c r="K1149" i="1" s="1"/>
  <c r="J1132" i="1"/>
  <c r="K1132" i="1" s="1"/>
  <c r="J1124" i="1"/>
  <c r="K1124" i="1" s="1"/>
  <c r="J1115" i="1"/>
  <c r="K1115" i="1" s="1"/>
  <c r="J1098" i="1"/>
  <c r="K1098" i="1" s="1"/>
  <c r="J1090" i="1"/>
  <c r="K1090" i="1" s="1"/>
  <c r="J1082" i="1"/>
  <c r="K1082" i="1" s="1"/>
  <c r="J1066" i="1"/>
  <c r="K1066" i="1" s="1"/>
  <c r="J1058" i="1"/>
  <c r="K1058" i="1" s="1"/>
  <c r="J1050" i="1"/>
  <c r="K1050" i="1" s="1"/>
  <c r="J1033" i="1"/>
  <c r="K1033" i="1" s="1"/>
  <c r="J400" i="1"/>
  <c r="K400" i="1" s="1"/>
  <c r="J1171" i="1"/>
  <c r="K1171" i="1" s="1"/>
  <c r="J1163" i="1"/>
  <c r="K1163" i="1" s="1"/>
  <c r="J1155" i="1"/>
  <c r="K1155" i="1" s="1"/>
  <c r="J1147" i="1"/>
  <c r="K1147" i="1" s="1"/>
  <c r="J1139" i="1"/>
  <c r="K1139" i="1" s="1"/>
  <c r="J1130" i="1"/>
  <c r="K1130" i="1" s="1"/>
  <c r="J1121" i="1"/>
  <c r="K1121" i="1" s="1"/>
  <c r="J1112" i="1"/>
  <c r="K1112" i="1" s="1"/>
  <c r="J1104" i="1"/>
  <c r="K1104" i="1" s="1"/>
  <c r="J1096" i="1"/>
  <c r="K1096" i="1" s="1"/>
  <c r="J1088" i="1"/>
  <c r="K1088" i="1" s="1"/>
  <c r="J1080" i="1"/>
  <c r="K1080" i="1" s="1"/>
  <c r="J1072" i="1"/>
  <c r="K1072" i="1" s="1"/>
  <c r="J1064" i="1"/>
  <c r="K1064" i="1" s="1"/>
  <c r="J1056" i="1"/>
  <c r="K1056" i="1" s="1"/>
  <c r="J1047" i="1"/>
  <c r="K1047" i="1" s="1"/>
  <c r="J1039" i="1"/>
  <c r="K1039" i="1" s="1"/>
  <c r="J1031" i="1"/>
  <c r="K1031" i="1" s="1"/>
  <c r="J1023" i="1"/>
  <c r="K1023" i="1" s="1"/>
  <c r="J1015" i="1"/>
  <c r="K1015" i="1" s="1"/>
  <c r="J1007" i="1"/>
  <c r="K1007" i="1" s="1"/>
  <c r="J998" i="1"/>
  <c r="K998" i="1" s="1"/>
  <c r="J990" i="1"/>
  <c r="K990" i="1" s="1"/>
  <c r="J982" i="1"/>
  <c r="K982" i="1" s="1"/>
  <c r="J974" i="1"/>
  <c r="K974" i="1" s="1"/>
  <c r="J966" i="1"/>
  <c r="K966" i="1" s="1"/>
  <c r="J957" i="1"/>
  <c r="K957" i="1" s="1"/>
  <c r="J949" i="1"/>
  <c r="K949" i="1" s="1"/>
  <c r="J941" i="1"/>
  <c r="K941" i="1" s="1"/>
  <c r="J933" i="1"/>
  <c r="K933" i="1" s="1"/>
  <c r="J924" i="1"/>
  <c r="K924" i="1" s="1"/>
  <c r="J916" i="1"/>
  <c r="K916" i="1" s="1"/>
  <c r="J908" i="1"/>
  <c r="K908" i="1" s="1"/>
  <c r="J900" i="1"/>
  <c r="K900" i="1" s="1"/>
  <c r="J891" i="1"/>
  <c r="K891" i="1" s="1"/>
  <c r="J883" i="1"/>
  <c r="K883" i="1" s="1"/>
  <c r="J874" i="1"/>
  <c r="K874" i="1" s="1"/>
  <c r="J866" i="1"/>
  <c r="K866" i="1" s="1"/>
  <c r="J857" i="1"/>
  <c r="K857" i="1" s="1"/>
  <c r="J849" i="1"/>
  <c r="K849" i="1" s="1"/>
  <c r="J841" i="1"/>
  <c r="K841" i="1" s="1"/>
  <c r="J378" i="1"/>
  <c r="K378" i="1" s="1"/>
  <c r="C5" i="1"/>
  <c r="J832" i="1"/>
  <c r="K832" i="1" s="1"/>
  <c r="J824" i="1"/>
  <c r="K824" i="1" s="1"/>
  <c r="J816" i="1"/>
  <c r="K816" i="1" s="1"/>
  <c r="J807" i="1"/>
  <c r="K807" i="1" s="1"/>
  <c r="J799" i="1"/>
  <c r="K799" i="1" s="1"/>
  <c r="J791" i="1"/>
  <c r="K791" i="1" s="1"/>
  <c r="J783" i="1"/>
  <c r="K783" i="1" s="1"/>
  <c r="J775" i="1"/>
  <c r="K775" i="1" s="1"/>
  <c r="J766" i="1"/>
  <c r="K766" i="1" s="1"/>
  <c r="J758" i="1"/>
  <c r="K758" i="1" s="1"/>
  <c r="J750" i="1"/>
  <c r="K750" i="1" s="1"/>
  <c r="J742" i="1"/>
  <c r="K742" i="1" s="1"/>
  <c r="J734" i="1"/>
  <c r="K734" i="1" s="1"/>
  <c r="J725" i="1"/>
  <c r="K725" i="1" s="1"/>
  <c r="J717" i="1"/>
  <c r="K717" i="1" s="1"/>
  <c r="J708" i="1"/>
  <c r="K708" i="1" s="1"/>
  <c r="J700" i="1"/>
  <c r="K700" i="1" s="1"/>
  <c r="J692" i="1"/>
  <c r="K692" i="1" s="1"/>
  <c r="J683" i="1"/>
  <c r="K683" i="1" s="1"/>
  <c r="J675" i="1"/>
  <c r="K675" i="1" s="1"/>
  <c r="J667" i="1"/>
  <c r="K667" i="1" s="1"/>
  <c r="J659" i="1"/>
  <c r="K659" i="1" s="1"/>
  <c r="J651" i="1"/>
  <c r="K651" i="1" s="1"/>
  <c r="J643" i="1"/>
  <c r="K643" i="1" s="1"/>
  <c r="J635" i="1"/>
  <c r="K635" i="1" s="1"/>
  <c r="J626" i="1"/>
  <c r="K626" i="1" s="1"/>
  <c r="J618" i="1"/>
  <c r="K618" i="1" s="1"/>
  <c r="J610" i="1"/>
  <c r="K610" i="1" s="1"/>
  <c r="J602" i="1"/>
  <c r="K602" i="1" s="1"/>
  <c r="J593" i="1"/>
  <c r="K593" i="1" s="1"/>
  <c r="J585" i="1"/>
  <c r="K585" i="1" s="1"/>
  <c r="J577" i="1"/>
  <c r="K577" i="1" s="1"/>
  <c r="J569" i="1"/>
  <c r="K569" i="1" s="1"/>
  <c r="J560" i="1"/>
  <c r="K560" i="1" s="1"/>
  <c r="J552" i="1"/>
  <c r="K552" i="1" s="1"/>
  <c r="J544" i="1"/>
  <c r="K544" i="1" s="1"/>
  <c r="J536" i="1"/>
  <c r="K536" i="1" s="1"/>
  <c r="J527" i="1"/>
  <c r="K527" i="1" s="1"/>
  <c r="J519" i="1"/>
  <c r="K519" i="1" s="1"/>
  <c r="J510" i="1"/>
  <c r="K510" i="1" s="1"/>
  <c r="J502" i="1"/>
  <c r="K502" i="1" s="1"/>
  <c r="J494" i="1"/>
  <c r="K494" i="1" s="1"/>
  <c r="J485" i="1"/>
  <c r="K485" i="1" s="1"/>
  <c r="J477" i="1"/>
  <c r="K477" i="1" s="1"/>
  <c r="J469" i="1"/>
  <c r="K469" i="1" s="1"/>
  <c r="J461" i="1"/>
  <c r="K461" i="1" s="1"/>
  <c r="J452" i="1"/>
  <c r="K452" i="1" s="1"/>
  <c r="J444" i="1"/>
  <c r="K444" i="1" s="1"/>
  <c r="J436" i="1"/>
  <c r="K436" i="1" s="1"/>
  <c r="J428" i="1"/>
  <c r="K428" i="1" s="1"/>
  <c r="J419" i="1"/>
  <c r="K419" i="1" s="1"/>
  <c r="J411" i="1"/>
  <c r="K411" i="1" s="1"/>
  <c r="J403" i="1"/>
  <c r="K403" i="1" s="1"/>
  <c r="J395" i="1"/>
  <c r="K395" i="1" s="1"/>
  <c r="J387" i="1"/>
  <c r="K387" i="1" s="1"/>
  <c r="J370" i="1"/>
  <c r="K370" i="1" s="1"/>
  <c r="J362" i="1"/>
  <c r="K362" i="1" s="1"/>
  <c r="J353" i="1"/>
  <c r="K353" i="1" s="1"/>
  <c r="J343" i="1"/>
  <c r="K343" i="1" s="1"/>
  <c r="J335" i="1"/>
  <c r="K335" i="1" s="1"/>
  <c r="J327" i="1"/>
  <c r="K327" i="1" s="1"/>
  <c r="J318" i="1"/>
  <c r="K318" i="1" s="1"/>
  <c r="J310" i="1"/>
  <c r="K310" i="1" s="1"/>
  <c r="J302" i="1"/>
  <c r="K302" i="1" s="1"/>
  <c r="J294" i="1"/>
  <c r="K294" i="1" s="1"/>
  <c r="J286" i="1"/>
  <c r="K286" i="1" s="1"/>
  <c r="J277" i="1"/>
  <c r="K277" i="1" s="1"/>
  <c r="J269" i="1"/>
  <c r="K269" i="1" s="1"/>
  <c r="J260" i="1"/>
  <c r="K260" i="1" s="1"/>
  <c r="J251" i="1"/>
  <c r="K251" i="1" s="1"/>
  <c r="J243" i="1"/>
  <c r="K243" i="1" s="1"/>
  <c r="J234" i="1"/>
  <c r="K234" i="1" s="1"/>
  <c r="J226" i="1"/>
  <c r="K226" i="1" s="1"/>
  <c r="J218" i="1"/>
  <c r="K218" i="1" s="1"/>
  <c r="J210" i="1"/>
  <c r="K210" i="1" s="1"/>
  <c r="J202" i="1"/>
  <c r="K202" i="1" s="1"/>
  <c r="J194" i="1"/>
  <c r="K194" i="1" s="1"/>
  <c r="J177" i="1"/>
  <c r="K177" i="1" s="1"/>
  <c r="J145" i="1"/>
  <c r="K145" i="1" s="1"/>
  <c r="J104" i="1"/>
  <c r="K104" i="1" s="1"/>
  <c r="J96" i="1"/>
  <c r="K96" i="1" s="1"/>
  <c r="J87" i="1"/>
  <c r="K87" i="1" s="1"/>
  <c r="J38" i="1"/>
  <c r="K38" i="1" s="1"/>
  <c r="J30" i="1"/>
  <c r="K30" i="1" s="1"/>
  <c r="J21" i="1"/>
  <c r="K21" i="1" s="1"/>
  <c r="J1170" i="1"/>
  <c r="K1170" i="1" s="1"/>
  <c r="J1154" i="1"/>
  <c r="K1154" i="1" s="1"/>
  <c r="J1146" i="1"/>
  <c r="K1146" i="1" s="1"/>
  <c r="J1138" i="1"/>
  <c r="K1138" i="1" s="1"/>
  <c r="J1120" i="1"/>
  <c r="K1120" i="1" s="1"/>
  <c r="J1111" i="1"/>
  <c r="K1111" i="1" s="1"/>
  <c r="J1103" i="1"/>
  <c r="K1103" i="1" s="1"/>
  <c r="J1087" i="1"/>
  <c r="K1087" i="1" s="1"/>
  <c r="J1079" i="1"/>
  <c r="K1079" i="1" s="1"/>
  <c r="J1071" i="1"/>
  <c r="K1071" i="1" s="1"/>
  <c r="J1055" i="1"/>
  <c r="K1055" i="1" s="1"/>
  <c r="J1046" i="1"/>
  <c r="K1046" i="1" s="1"/>
  <c r="J1038" i="1"/>
  <c r="K1038" i="1" s="1"/>
  <c r="J1022" i="1"/>
  <c r="K1022" i="1" s="1"/>
  <c r="J1014" i="1"/>
  <c r="K1014" i="1" s="1"/>
  <c r="J1006" i="1"/>
  <c r="K1006" i="1" s="1"/>
  <c r="J989" i="1"/>
  <c r="K989" i="1" s="1"/>
  <c r="J981" i="1"/>
  <c r="K981" i="1" s="1"/>
  <c r="J973" i="1"/>
  <c r="K973" i="1" s="1"/>
  <c r="J956" i="1"/>
  <c r="K956" i="1" s="1"/>
  <c r="J948" i="1"/>
  <c r="K948" i="1" s="1"/>
  <c r="J940" i="1"/>
  <c r="K940" i="1" s="1"/>
  <c r="J923" i="1"/>
  <c r="K923" i="1" s="1"/>
  <c r="J915" i="1"/>
  <c r="K915" i="1" s="1"/>
  <c r="J907" i="1"/>
  <c r="K907" i="1" s="1"/>
  <c r="J890" i="1"/>
  <c r="K890" i="1" s="1"/>
  <c r="J882" i="1"/>
  <c r="K882" i="1" s="1"/>
  <c r="J873" i="1"/>
  <c r="K873" i="1" s="1"/>
  <c r="J856" i="1"/>
  <c r="K856" i="1" s="1"/>
  <c r="J848" i="1"/>
  <c r="K848" i="1" s="1"/>
  <c r="J840" i="1"/>
  <c r="K840" i="1" s="1"/>
  <c r="J823" i="1"/>
  <c r="K823" i="1" s="1"/>
  <c r="J815" i="1"/>
  <c r="K815" i="1" s="1"/>
  <c r="J806" i="1"/>
  <c r="K806" i="1" s="1"/>
  <c r="J790" i="1"/>
  <c r="K790" i="1" s="1"/>
  <c r="J782" i="1"/>
  <c r="K782" i="1" s="1"/>
  <c r="J774" i="1"/>
  <c r="K774" i="1" s="1"/>
  <c r="J757" i="1"/>
  <c r="K757" i="1" s="1"/>
  <c r="J749" i="1"/>
  <c r="K749" i="1" s="1"/>
  <c r="J741" i="1"/>
  <c r="K741" i="1" s="1"/>
  <c r="J724" i="1"/>
  <c r="K724" i="1" s="1"/>
  <c r="J716" i="1"/>
  <c r="K716" i="1" s="1"/>
  <c r="J707" i="1"/>
  <c r="K707" i="1" s="1"/>
  <c r="J690" i="1"/>
  <c r="K690" i="1" s="1"/>
  <c r="J682" i="1"/>
  <c r="K682" i="1" s="1"/>
  <c r="J674" i="1"/>
  <c r="K674" i="1" s="1"/>
  <c r="J658" i="1"/>
  <c r="K658" i="1" s="1"/>
  <c r="J650" i="1"/>
  <c r="K650" i="1" s="1"/>
  <c r="J3" i="1"/>
  <c r="K3" i="1" s="1"/>
  <c r="J2" i="1"/>
  <c r="K2" i="1" s="1"/>
  <c r="J642" i="1"/>
  <c r="K642" i="1" s="1"/>
  <c r="J617" i="1"/>
  <c r="K617" i="1" s="1"/>
  <c r="J592" i="1"/>
  <c r="K592" i="1" s="1"/>
  <c r="J576" i="1"/>
  <c r="K576" i="1" s="1"/>
  <c r="J551" i="1"/>
  <c r="K551" i="1" s="1"/>
  <c r="J526" i="1"/>
  <c r="K526" i="1" s="1"/>
  <c r="J509" i="1"/>
  <c r="K509" i="1" s="1"/>
  <c r="J332" i="1"/>
  <c r="K332" i="1" s="1"/>
  <c r="J599" i="1"/>
  <c r="K599" i="1" s="1"/>
  <c r="J533" i="1"/>
  <c r="K533" i="1" s="1"/>
  <c r="J466" i="1"/>
  <c r="K466" i="1" s="1"/>
  <c r="J265" i="1"/>
  <c r="K265" i="1" s="1"/>
  <c r="J199" i="1"/>
  <c r="K199" i="1" s="1"/>
  <c r="J484" i="1"/>
  <c r="K484" i="1" s="1"/>
  <c r="J460" i="1"/>
  <c r="K460" i="1" s="1"/>
  <c r="J443" i="1"/>
  <c r="K443" i="1" s="1"/>
  <c r="J418" i="1"/>
  <c r="K418" i="1" s="1"/>
  <c r="J394" i="1"/>
  <c r="K394" i="1" s="1"/>
  <c r="J377" i="1"/>
  <c r="K377" i="1" s="1"/>
  <c r="J351" i="1"/>
  <c r="K351" i="1" s="1"/>
  <c r="J326" i="1"/>
  <c r="K326" i="1" s="1"/>
  <c r="J309" i="1"/>
  <c r="K309" i="1" s="1"/>
  <c r="J285" i="1"/>
  <c r="K285" i="1" s="1"/>
  <c r="J259" i="1"/>
  <c r="K259" i="1" s="1"/>
  <c r="J242" i="1"/>
  <c r="K242" i="1" s="1"/>
  <c r="J217" i="1"/>
  <c r="K217" i="1" s="1"/>
  <c r="J193" i="1"/>
  <c r="K193" i="1" s="1"/>
  <c r="J184" i="1"/>
  <c r="K184" i="1" s="1"/>
  <c r="J160" i="1"/>
  <c r="K160" i="1" s="1"/>
  <c r="J127" i="1"/>
  <c r="K127" i="1" s="1"/>
  <c r="J70" i="1"/>
  <c r="K70" i="1" s="1"/>
  <c r="J61" i="1"/>
  <c r="K61" i="1" s="1"/>
  <c r="J1168" i="1"/>
  <c r="K1168" i="1" s="1"/>
  <c r="J1160" i="1"/>
  <c r="K1160" i="1" s="1"/>
  <c r="J1152" i="1"/>
  <c r="K1152" i="1" s="1"/>
  <c r="J1144" i="1"/>
  <c r="K1144" i="1" s="1"/>
  <c r="J1136" i="1"/>
  <c r="K1136" i="1" s="1"/>
  <c r="J1127" i="1"/>
  <c r="K1127" i="1" s="1"/>
  <c r="J1118" i="1"/>
  <c r="K1118" i="1" s="1"/>
  <c r="J1109" i="1"/>
  <c r="K1109" i="1" s="1"/>
  <c r="J1101" i="1"/>
  <c r="K1101" i="1" s="1"/>
  <c r="J1093" i="1"/>
  <c r="K1093" i="1" s="1"/>
  <c r="J1085" i="1"/>
  <c r="K1085" i="1" s="1"/>
  <c r="J1077" i="1"/>
  <c r="K1077" i="1" s="1"/>
  <c r="J1069" i="1"/>
  <c r="K1069" i="1" s="1"/>
  <c r="J1061" i="1"/>
  <c r="K1061" i="1" s="1"/>
  <c r="J1053" i="1"/>
  <c r="K1053" i="1" s="1"/>
  <c r="J1044" i="1"/>
  <c r="K1044" i="1" s="1"/>
  <c r="J1036" i="1"/>
  <c r="K1036" i="1" s="1"/>
  <c r="J1028" i="1"/>
  <c r="K1028" i="1" s="1"/>
  <c r="J1020" i="1"/>
  <c r="K1020" i="1" s="1"/>
  <c r="J1012" i="1"/>
  <c r="K1012" i="1" s="1"/>
  <c r="J1003" i="1"/>
  <c r="K1003" i="1" s="1"/>
  <c r="J995" i="1"/>
  <c r="K995" i="1" s="1"/>
  <c r="J987" i="1"/>
  <c r="K987" i="1" s="1"/>
  <c r="J979" i="1"/>
  <c r="K979" i="1" s="1"/>
  <c r="J971" i="1"/>
  <c r="K971" i="1" s="1"/>
  <c r="J963" i="1"/>
  <c r="K963" i="1" s="1"/>
  <c r="J954" i="1"/>
  <c r="K954" i="1" s="1"/>
  <c r="J946" i="1"/>
  <c r="K946" i="1" s="1"/>
  <c r="J938" i="1"/>
  <c r="K938" i="1" s="1"/>
  <c r="J930" i="1"/>
  <c r="K930" i="1" s="1"/>
  <c r="J921" i="1"/>
  <c r="K921" i="1" s="1"/>
  <c r="J913" i="1"/>
  <c r="K913" i="1" s="1"/>
  <c r="J905" i="1"/>
  <c r="K905" i="1" s="1"/>
  <c r="J897" i="1"/>
  <c r="K897" i="1" s="1"/>
  <c r="J888" i="1"/>
  <c r="K888" i="1" s="1"/>
  <c r="J880" i="1"/>
  <c r="K880" i="1" s="1"/>
  <c r="J871" i="1"/>
  <c r="K871" i="1" s="1"/>
  <c r="J862" i="1"/>
  <c r="K862" i="1" s="1"/>
  <c r="J854" i="1"/>
  <c r="K854" i="1" s="1"/>
  <c r="J846" i="1"/>
  <c r="K846" i="1" s="1"/>
  <c r="J837" i="1"/>
  <c r="K837" i="1" s="1"/>
  <c r="J829" i="1"/>
  <c r="K829" i="1" s="1"/>
  <c r="J821" i="1"/>
  <c r="K821" i="1" s="1"/>
  <c r="J812" i="1"/>
  <c r="K812" i="1" s="1"/>
  <c r="J804" i="1"/>
  <c r="K804" i="1" s="1"/>
  <c r="J796" i="1"/>
  <c r="K796" i="1" s="1"/>
  <c r="J788" i="1"/>
  <c r="K788" i="1" s="1"/>
  <c r="J780" i="1"/>
  <c r="K780" i="1" s="1"/>
  <c r="J771" i="1"/>
  <c r="K771" i="1" s="1"/>
  <c r="J763" i="1"/>
  <c r="K763" i="1" s="1"/>
  <c r="J755" i="1"/>
  <c r="K755" i="1" s="1"/>
  <c r="J747" i="1"/>
  <c r="K747" i="1" s="1"/>
  <c r="J739" i="1"/>
  <c r="K739" i="1" s="1"/>
  <c r="J731" i="1"/>
  <c r="K731" i="1" s="1"/>
  <c r="J722" i="1"/>
  <c r="K722" i="1" s="1"/>
  <c r="J713" i="1"/>
  <c r="K713" i="1" s="1"/>
  <c r="J705" i="1"/>
  <c r="K705" i="1" s="1"/>
  <c r="J697" i="1"/>
  <c r="K697" i="1" s="1"/>
  <c r="J688" i="1"/>
  <c r="K688" i="1" s="1"/>
  <c r="J680" i="1"/>
  <c r="K680" i="1" s="1"/>
  <c r="J672" i="1"/>
  <c r="K672" i="1" s="1"/>
  <c r="J664" i="1"/>
  <c r="K664" i="1" s="1"/>
  <c r="J656" i="1"/>
  <c r="K656" i="1" s="1"/>
  <c r="J648" i="1"/>
  <c r="K648" i="1" s="1"/>
  <c r="J640" i="1"/>
  <c r="K640" i="1" s="1"/>
  <c r="J631" i="1"/>
  <c r="K631" i="1" s="1"/>
  <c r="J623" i="1"/>
  <c r="K623" i="1" s="1"/>
  <c r="J615" i="1"/>
  <c r="K615" i="1" s="1"/>
  <c r="J607" i="1"/>
  <c r="K607" i="1" s="1"/>
  <c r="J590" i="1"/>
  <c r="K590" i="1" s="1"/>
  <c r="J582" i="1"/>
  <c r="K582" i="1" s="1"/>
  <c r="J574" i="1"/>
  <c r="K574" i="1" s="1"/>
  <c r="J566" i="1"/>
  <c r="K566" i="1" s="1"/>
  <c r="J557" i="1"/>
  <c r="K557" i="1" s="1"/>
  <c r="J549" i="1"/>
  <c r="K549" i="1" s="1"/>
  <c r="J541" i="1"/>
  <c r="K541" i="1" s="1"/>
  <c r="J524" i="1"/>
  <c r="K524" i="1" s="1"/>
  <c r="J516" i="1"/>
  <c r="K516" i="1" s="1"/>
  <c r="J507" i="1"/>
  <c r="K507" i="1" s="1"/>
  <c r="J499" i="1"/>
  <c r="K499" i="1" s="1"/>
  <c r="J490" i="1"/>
  <c r="K490" i="1" s="1"/>
  <c r="J482" i="1"/>
  <c r="K482" i="1" s="1"/>
  <c r="J474" i="1"/>
  <c r="K474" i="1" s="1"/>
  <c r="J458" i="1"/>
  <c r="K458" i="1" s="1"/>
  <c r="J449" i="1"/>
  <c r="K449" i="1" s="1"/>
  <c r="J441" i="1"/>
  <c r="K441" i="1" s="1"/>
  <c r="J433" i="1"/>
  <c r="K433" i="1" s="1"/>
  <c r="J425" i="1"/>
  <c r="K425" i="1" s="1"/>
  <c r="J416" i="1"/>
  <c r="K416" i="1" s="1"/>
  <c r="J408" i="1"/>
  <c r="K408" i="1" s="1"/>
  <c r="J392" i="1"/>
  <c r="K392" i="1" s="1"/>
  <c r="J384" i="1"/>
  <c r="K384" i="1" s="1"/>
  <c r="J375" i="1"/>
  <c r="K375" i="1" s="1"/>
  <c r="J367" i="1"/>
  <c r="K367" i="1" s="1"/>
  <c r="J359" i="1"/>
  <c r="K359" i="1" s="1"/>
  <c r="J348" i="1"/>
  <c r="K348" i="1" s="1"/>
  <c r="J340" i="1"/>
  <c r="K340" i="1" s="1"/>
  <c r="J324" i="1"/>
  <c r="K324" i="1" s="1"/>
  <c r="J315" i="1"/>
  <c r="K315" i="1" s="1"/>
  <c r="J307" i="1"/>
  <c r="K307" i="1" s="1"/>
  <c r="J299" i="1"/>
  <c r="K299" i="1" s="1"/>
  <c r="J291" i="1"/>
  <c r="K291" i="1" s="1"/>
  <c r="J282" i="1"/>
  <c r="K282" i="1" s="1"/>
  <c r="J274" i="1"/>
  <c r="K274" i="1" s="1"/>
  <c r="J256" i="1"/>
  <c r="K256" i="1" s="1"/>
  <c r="J248" i="1"/>
  <c r="K248" i="1" s="1"/>
  <c r="J239" i="1"/>
  <c r="K239" i="1" s="1"/>
  <c r="J231" i="1"/>
  <c r="K231" i="1" s="1"/>
  <c r="J166" i="1"/>
  <c r="K166" i="1" s="1"/>
  <c r="J134" i="1"/>
  <c r="K134" i="1" s="1"/>
  <c r="J1174" i="1"/>
  <c r="K1174" i="1" s="1"/>
  <c r="J1166" i="1"/>
  <c r="K1166" i="1" s="1"/>
  <c r="J1158" i="1"/>
  <c r="K1158" i="1" s="1"/>
  <c r="J1150" i="1"/>
  <c r="K1150" i="1" s="1"/>
  <c r="J1142" i="1"/>
  <c r="K1142" i="1" s="1"/>
  <c r="J1134" i="1"/>
  <c r="K1134" i="1" s="1"/>
  <c r="J1125" i="1"/>
  <c r="K1125" i="1" s="1"/>
  <c r="J1116" i="1"/>
  <c r="K1116" i="1" s="1"/>
  <c r="J1107" i="1"/>
  <c r="K1107" i="1" s="1"/>
  <c r="J1099" i="1"/>
  <c r="K1099" i="1" s="1"/>
  <c r="J1091" i="1"/>
  <c r="K1091" i="1" s="1"/>
  <c r="J1083" i="1"/>
  <c r="K1083" i="1" s="1"/>
  <c r="J1075" i="1"/>
  <c r="K1075" i="1" s="1"/>
  <c r="J1067" i="1"/>
  <c r="K1067" i="1" s="1"/>
  <c r="J1059" i="1"/>
  <c r="K1059" i="1" s="1"/>
  <c r="J1051" i="1"/>
  <c r="K1051" i="1" s="1"/>
  <c r="J1042" i="1"/>
  <c r="K1042" i="1" s="1"/>
  <c r="J1034" i="1"/>
  <c r="K1034" i="1" s="1"/>
  <c r="J1026" i="1"/>
  <c r="K1026" i="1" s="1"/>
  <c r="J1018" i="1"/>
  <c r="K1018" i="1" s="1"/>
  <c r="J1010" i="1"/>
  <c r="K1010" i="1" s="1"/>
  <c r="J1001" i="1"/>
  <c r="K1001" i="1" s="1"/>
  <c r="J993" i="1"/>
  <c r="K993" i="1" s="1"/>
  <c r="J985" i="1"/>
  <c r="K985" i="1" s="1"/>
  <c r="J977" i="1"/>
  <c r="K977" i="1" s="1"/>
  <c r="J969" i="1"/>
  <c r="K969" i="1" s="1"/>
  <c r="J961" i="1"/>
  <c r="K961" i="1" s="1"/>
  <c r="J952" i="1"/>
  <c r="K952" i="1" s="1"/>
  <c r="J944" i="1"/>
  <c r="K944" i="1" s="1"/>
  <c r="J936" i="1"/>
  <c r="K936" i="1" s="1"/>
  <c r="J927" i="1"/>
  <c r="K927" i="1" s="1"/>
  <c r="J919" i="1"/>
  <c r="K919" i="1" s="1"/>
  <c r="J911" i="1"/>
  <c r="K911" i="1" s="1"/>
  <c r="J903" i="1"/>
  <c r="K903" i="1" s="1"/>
  <c r="J895" i="1"/>
  <c r="K895" i="1" s="1"/>
  <c r="J886" i="1"/>
  <c r="K886" i="1" s="1"/>
  <c r="J878" i="1"/>
  <c r="K878" i="1" s="1"/>
  <c r="J869" i="1"/>
  <c r="K869" i="1" s="1"/>
  <c r="J860" i="1"/>
  <c r="K860" i="1" s="1"/>
  <c r="J852" i="1"/>
  <c r="K852" i="1" s="1"/>
  <c r="J844" i="1"/>
  <c r="K844" i="1" s="1"/>
  <c r="J835" i="1"/>
  <c r="K835" i="1" s="1"/>
  <c r="J827" i="1"/>
  <c r="K827" i="1" s="1"/>
  <c r="J819" i="1"/>
  <c r="K819" i="1" s="1"/>
  <c r="J810" i="1"/>
  <c r="K810" i="1" s="1"/>
  <c r="J802" i="1"/>
  <c r="K802" i="1" s="1"/>
  <c r="J794" i="1"/>
  <c r="K794" i="1" s="1"/>
  <c r="J786" i="1"/>
  <c r="K786" i="1" s="1"/>
  <c r="J778" i="1"/>
  <c r="K778" i="1" s="1"/>
  <c r="J769" i="1"/>
  <c r="K769" i="1" s="1"/>
  <c r="J761" i="1"/>
  <c r="K761" i="1" s="1"/>
  <c r="J753" i="1"/>
  <c r="K753" i="1" s="1"/>
  <c r="J745" i="1"/>
  <c r="K745" i="1" s="1"/>
  <c r="J1025" i="1"/>
  <c r="K1025" i="1" s="1"/>
  <c r="J1017" i="1"/>
  <c r="K1017" i="1" s="1"/>
  <c r="J1000" i="1"/>
  <c r="K1000" i="1" s="1"/>
  <c r="J992" i="1"/>
  <c r="K992" i="1" s="1"/>
  <c r="J984" i="1"/>
  <c r="K984" i="1" s="1"/>
  <c r="J968" i="1"/>
  <c r="K968" i="1" s="1"/>
  <c r="J960" i="1"/>
  <c r="K960" i="1" s="1"/>
  <c r="J951" i="1"/>
  <c r="K951" i="1" s="1"/>
  <c r="J935" i="1"/>
  <c r="K935" i="1" s="1"/>
  <c r="J926" i="1"/>
  <c r="K926" i="1" s="1"/>
  <c r="J918" i="1"/>
  <c r="K918" i="1" s="1"/>
  <c r="J902" i="1"/>
  <c r="K902" i="1" s="1"/>
  <c r="J894" i="1"/>
  <c r="K894" i="1" s="1"/>
  <c r="J885" i="1"/>
  <c r="K885" i="1" s="1"/>
  <c r="J868" i="1"/>
  <c r="K868" i="1" s="1"/>
  <c r="J859" i="1"/>
  <c r="K859" i="1" s="1"/>
  <c r="J851" i="1"/>
  <c r="K851" i="1" s="1"/>
  <c r="J834" i="1"/>
  <c r="K834" i="1" s="1"/>
  <c r="J826" i="1"/>
  <c r="K826" i="1" s="1"/>
  <c r="J818" i="1"/>
  <c r="K818" i="1" s="1"/>
  <c r="J801" i="1"/>
  <c r="K801" i="1" s="1"/>
  <c r="J793" i="1"/>
  <c r="K793" i="1" s="1"/>
  <c r="J785" i="1"/>
  <c r="K785" i="1" s="1"/>
  <c r="J768" i="1"/>
  <c r="K768" i="1" s="1"/>
  <c r="J760" i="1"/>
  <c r="K760" i="1" s="1"/>
  <c r="J752" i="1"/>
  <c r="K752" i="1" s="1"/>
  <c r="J736" i="1"/>
  <c r="K736" i="1" s="1"/>
  <c r="J727" i="1"/>
  <c r="K727" i="1" s="1"/>
  <c r="J719" i="1"/>
  <c r="K719" i="1" s="1"/>
  <c r="J702" i="1"/>
  <c r="K702" i="1" s="1"/>
  <c r="J694" i="1"/>
  <c r="K694" i="1" s="1"/>
  <c r="J685" i="1"/>
  <c r="K685" i="1" s="1"/>
  <c r="J669" i="1"/>
  <c r="K669" i="1" s="1"/>
  <c r="J661" i="1"/>
  <c r="K661" i="1" s="1"/>
  <c r="J653" i="1"/>
  <c r="K653" i="1" s="1"/>
  <c r="J637" i="1"/>
  <c r="K637" i="1" s="1"/>
  <c r="J628" i="1"/>
  <c r="K628" i="1" s="1"/>
  <c r="J620" i="1"/>
  <c r="K620" i="1" s="1"/>
  <c r="J604" i="1"/>
  <c r="K604" i="1" s="1"/>
  <c r="J596" i="1"/>
  <c r="K596" i="1" s="1"/>
  <c r="J587" i="1"/>
  <c r="K587" i="1" s="1"/>
  <c r="J571" i="1"/>
  <c r="K571" i="1" s="1"/>
  <c r="J562" i="1"/>
  <c r="K562" i="1" s="1"/>
  <c r="J554" i="1"/>
  <c r="K554" i="1" s="1"/>
  <c r="J538" i="1"/>
  <c r="K538" i="1" s="1"/>
  <c r="J530" i="1"/>
  <c r="K530" i="1" s="1"/>
  <c r="J521" i="1"/>
  <c r="K521" i="1" s="1"/>
  <c r="J504" i="1"/>
  <c r="K504" i="1" s="1"/>
  <c r="J496" i="1"/>
  <c r="K496" i="1" s="1"/>
  <c r="J487" i="1"/>
  <c r="K487" i="1" s="1"/>
  <c r="J471" i="1"/>
  <c r="K471" i="1" s="1"/>
  <c r="J463" i="1"/>
  <c r="K463" i="1" s="1"/>
  <c r="J454" i="1"/>
  <c r="K454" i="1" s="1"/>
  <c r="J438" i="1"/>
  <c r="K438" i="1" s="1"/>
  <c r="J430" i="1"/>
  <c r="K430" i="1" s="1"/>
  <c r="J422" i="1"/>
  <c r="K422" i="1" s="1"/>
  <c r="J405" i="1"/>
  <c r="K405" i="1" s="1"/>
  <c r="J397" i="1"/>
  <c r="K397" i="1" s="1"/>
  <c r="J389" i="1"/>
  <c r="K389" i="1" s="1"/>
  <c r="J372" i="1"/>
  <c r="K372" i="1" s="1"/>
  <c r="J364" i="1"/>
  <c r="K364" i="1" s="1"/>
  <c r="J356" i="1"/>
  <c r="K356" i="1" s="1"/>
  <c r="J337" i="1"/>
  <c r="K337" i="1" s="1"/>
  <c r="J329" i="1"/>
  <c r="K329" i="1" s="1"/>
  <c r="J320" i="1"/>
  <c r="K320" i="1" s="1"/>
  <c r="J304" i="1"/>
  <c r="K304" i="1" s="1"/>
  <c r="J296" i="1"/>
  <c r="K296" i="1" s="1"/>
  <c r="J288" i="1"/>
  <c r="K288" i="1" s="1"/>
  <c r="J271" i="1"/>
  <c r="K271" i="1" s="1"/>
  <c r="J262" i="1"/>
  <c r="K262" i="1" s="1"/>
  <c r="J253" i="1"/>
  <c r="K253" i="1" s="1"/>
  <c r="J236" i="1"/>
  <c r="K236" i="1" s="1"/>
  <c r="J228" i="1"/>
  <c r="K228" i="1" s="1"/>
  <c r="J220" i="1"/>
  <c r="K220" i="1" s="1"/>
  <c r="J204" i="1"/>
  <c r="K204" i="1" s="1"/>
  <c r="J196" i="1"/>
  <c r="K196" i="1" s="1"/>
  <c r="J163" i="1"/>
  <c r="K163" i="1" s="1"/>
  <c r="J139" i="1"/>
  <c r="K139" i="1" s="1"/>
  <c r="J130" i="1"/>
  <c r="K130" i="1" s="1"/>
  <c r="J122" i="1"/>
  <c r="K122" i="1" s="1"/>
  <c r="J114" i="1"/>
  <c r="K114" i="1" s="1"/>
  <c r="J65" i="1"/>
  <c r="K65" i="1" s="1"/>
  <c r="J56" i="1"/>
  <c r="K56" i="1" s="1"/>
  <c r="J737" i="1"/>
  <c r="K737" i="1" s="1"/>
  <c r="J728" i="1"/>
  <c r="K728" i="1" s="1"/>
  <c r="J720" i="1"/>
  <c r="K720" i="1" s="1"/>
  <c r="J711" i="1"/>
  <c r="K711" i="1" s="1"/>
  <c r="J703" i="1"/>
  <c r="K703" i="1" s="1"/>
  <c r="J695" i="1"/>
  <c r="K695" i="1" s="1"/>
  <c r="J686" i="1"/>
  <c r="K686" i="1" s="1"/>
  <c r="J678" i="1"/>
  <c r="K678" i="1" s="1"/>
  <c r="J670" i="1"/>
  <c r="K670" i="1" s="1"/>
  <c r="J662" i="1"/>
  <c r="K662" i="1" s="1"/>
  <c r="J654" i="1"/>
  <c r="K654" i="1" s="1"/>
  <c r="J646" i="1"/>
  <c r="K646" i="1" s="1"/>
  <c r="J638" i="1"/>
  <c r="K638" i="1" s="1"/>
  <c r="J629" i="1"/>
  <c r="K629" i="1" s="1"/>
  <c r="J622" i="1"/>
  <c r="K622" i="1" s="1"/>
  <c r="J613" i="1"/>
  <c r="K613" i="1" s="1"/>
  <c r="J605" i="1"/>
  <c r="K605" i="1" s="1"/>
  <c r="J597" i="1"/>
  <c r="K597" i="1" s="1"/>
  <c r="J589" i="1"/>
  <c r="K589" i="1" s="1"/>
  <c r="J580" i="1"/>
  <c r="K580" i="1" s="1"/>
  <c r="J572" i="1"/>
  <c r="K572" i="1" s="1"/>
  <c r="J563" i="1"/>
  <c r="K563" i="1" s="1"/>
  <c r="J556" i="1"/>
  <c r="K556" i="1" s="1"/>
  <c r="J547" i="1"/>
  <c r="K547" i="1" s="1"/>
  <c r="J539" i="1"/>
  <c r="K539" i="1" s="1"/>
  <c r="J531" i="1"/>
  <c r="K531" i="1" s="1"/>
  <c r="J523" i="1"/>
  <c r="K523" i="1" s="1"/>
  <c r="J514" i="1"/>
  <c r="K514" i="1" s="1"/>
  <c r="J505" i="1"/>
  <c r="K505" i="1" s="1"/>
  <c r="J497" i="1"/>
  <c r="K497" i="1" s="1"/>
  <c r="J489" i="1"/>
  <c r="K489" i="1" s="1"/>
  <c r="J480" i="1"/>
  <c r="K480" i="1" s="1"/>
  <c r="J472" i="1"/>
  <c r="K472" i="1" s="1"/>
  <c r="J464" i="1"/>
  <c r="K464" i="1" s="1"/>
  <c r="J456" i="1"/>
  <c r="K456" i="1" s="1"/>
  <c r="J447" i="1"/>
  <c r="K447" i="1" s="1"/>
  <c r="J439" i="1"/>
  <c r="K439" i="1" s="1"/>
  <c r="J431" i="1"/>
  <c r="K431" i="1" s="1"/>
  <c r="J424" i="1"/>
  <c r="K424" i="1" s="1"/>
  <c r="J414" i="1"/>
  <c r="K414" i="1" s="1"/>
  <c r="J406" i="1"/>
  <c r="K406" i="1" s="1"/>
  <c r="J398" i="1"/>
  <c r="K398" i="1" s="1"/>
  <c r="J391" i="1"/>
  <c r="K391" i="1" s="1"/>
  <c r="J381" i="1"/>
  <c r="K381" i="1" s="1"/>
  <c r="J373" i="1"/>
  <c r="K373" i="1" s="1"/>
  <c r="J365" i="1"/>
  <c r="K365" i="1" s="1"/>
  <c r="J358" i="1"/>
  <c r="K358" i="1" s="1"/>
  <c r="J346" i="1"/>
  <c r="K346" i="1" s="1"/>
  <c r="J338" i="1"/>
  <c r="K338" i="1" s="1"/>
  <c r="J330" i="1"/>
  <c r="K330" i="1" s="1"/>
  <c r="J323" i="1"/>
  <c r="K323" i="1" s="1"/>
  <c r="J313" i="1"/>
  <c r="K313" i="1" s="1"/>
  <c r="J305" i="1"/>
  <c r="K305" i="1" s="1"/>
  <c r="J297" i="1"/>
  <c r="K297" i="1" s="1"/>
  <c r="J290" i="1"/>
  <c r="K290" i="1" s="1"/>
  <c r="J280" i="1"/>
  <c r="K280" i="1" s="1"/>
  <c r="J272" i="1"/>
  <c r="K272" i="1" s="1"/>
  <c r="J263" i="1"/>
  <c r="K263" i="1" s="1"/>
  <c r="J255" i="1"/>
  <c r="K255" i="1" s="1"/>
  <c r="J246" i="1"/>
  <c r="K246" i="1" s="1"/>
  <c r="J237" i="1"/>
  <c r="K237" i="1" s="1"/>
  <c r="J229" i="1"/>
  <c r="K229" i="1" s="1"/>
  <c r="J222" i="1"/>
  <c r="K222" i="1" s="1"/>
  <c r="J213" i="1"/>
  <c r="K213" i="1" s="1"/>
  <c r="J205" i="1"/>
  <c r="K205" i="1" s="1"/>
  <c r="J190" i="1"/>
  <c r="K190" i="1" s="1"/>
  <c r="J180" i="1"/>
  <c r="K180" i="1" s="1"/>
  <c r="J172" i="1"/>
  <c r="K172" i="1" s="1"/>
  <c r="J157" i="1"/>
  <c r="K157" i="1" s="1"/>
  <c r="J148" i="1"/>
  <c r="K148" i="1" s="1"/>
  <c r="J140" i="1"/>
  <c r="K140" i="1" s="1"/>
  <c r="J115" i="1"/>
  <c r="K115" i="1" s="1"/>
  <c r="J107" i="1"/>
  <c r="K107" i="1" s="1"/>
  <c r="J99" i="1"/>
  <c r="K99" i="1" s="1"/>
  <c r="J91" i="1"/>
  <c r="K91" i="1" s="1"/>
  <c r="J83" i="1"/>
  <c r="K83" i="1" s="1"/>
  <c r="J75" i="1"/>
  <c r="K75" i="1" s="1"/>
  <c r="J49" i="1"/>
  <c r="K49" i="1" s="1"/>
  <c r="J41" i="1"/>
  <c r="K41" i="1" s="1"/>
  <c r="J33" i="1"/>
  <c r="K33" i="1" s="1"/>
  <c r="J25" i="1"/>
  <c r="K25" i="1" s="1"/>
  <c r="J17" i="1"/>
  <c r="K17" i="1" s="1"/>
  <c r="J8" i="1"/>
  <c r="K8" i="1" s="1"/>
  <c r="J197" i="1"/>
  <c r="K197" i="1" s="1"/>
  <c r="J198" i="1"/>
  <c r="K198" i="1" s="1"/>
  <c r="J164" i="1"/>
  <c r="K164" i="1" s="1"/>
  <c r="J165" i="1"/>
  <c r="K165" i="1" s="1"/>
  <c r="J66" i="1"/>
  <c r="K66" i="1" s="1"/>
  <c r="J67" i="1"/>
  <c r="K67" i="1" s="1"/>
  <c r="J57" i="1"/>
  <c r="K57" i="1" s="1"/>
  <c r="J58" i="1"/>
  <c r="K58" i="1" s="1"/>
  <c r="J488" i="1"/>
  <c r="K488" i="1" s="1"/>
  <c r="J221" i="1"/>
  <c r="K221" i="1" s="1"/>
  <c r="J1173" i="1"/>
  <c r="K1173" i="1" s="1"/>
  <c r="J1141" i="1"/>
  <c r="K1141" i="1" s="1"/>
  <c r="J1106" i="1"/>
  <c r="K1106" i="1" s="1"/>
  <c r="J1074" i="1"/>
  <c r="K1074" i="1" s="1"/>
  <c r="J1041" i="1"/>
  <c r="K1041" i="1" s="1"/>
  <c r="J1009" i="1"/>
  <c r="K1009" i="1" s="1"/>
  <c r="J976" i="1"/>
  <c r="K976" i="1" s="1"/>
  <c r="J943" i="1"/>
  <c r="K943" i="1" s="1"/>
  <c r="J910" i="1"/>
  <c r="K910" i="1" s="1"/>
  <c r="J877" i="1"/>
  <c r="K877" i="1" s="1"/>
  <c r="J843" i="1"/>
  <c r="K843" i="1" s="1"/>
  <c r="J809" i="1"/>
  <c r="K809" i="1" s="1"/>
  <c r="J777" i="1"/>
  <c r="K777" i="1" s="1"/>
  <c r="J744" i="1"/>
  <c r="K744" i="1" s="1"/>
  <c r="J710" i="1"/>
  <c r="K710" i="1" s="1"/>
  <c r="J677" i="1"/>
  <c r="K677" i="1" s="1"/>
  <c r="J645" i="1"/>
  <c r="K645" i="1" s="1"/>
  <c r="J612" i="1"/>
  <c r="K612" i="1" s="1"/>
  <c r="J579" i="1"/>
  <c r="K579" i="1" s="1"/>
  <c r="J546" i="1"/>
  <c r="K546" i="1" s="1"/>
  <c r="J512" i="1"/>
  <c r="K512" i="1" s="1"/>
  <c r="J479" i="1"/>
  <c r="K479" i="1" s="1"/>
  <c r="J446" i="1"/>
  <c r="K446" i="1" s="1"/>
  <c r="J413" i="1"/>
  <c r="K413" i="1" s="1"/>
  <c r="J380" i="1"/>
  <c r="K380" i="1" s="1"/>
  <c r="J345" i="1"/>
  <c r="K345" i="1" s="1"/>
  <c r="J312" i="1"/>
  <c r="K312" i="1" s="1"/>
  <c r="J279" i="1"/>
  <c r="K279" i="1" s="1"/>
  <c r="J245" i="1"/>
  <c r="K245" i="1" s="1"/>
  <c r="J212" i="1"/>
  <c r="K212" i="1" s="1"/>
  <c r="J188" i="1"/>
  <c r="K188" i="1" s="1"/>
  <c r="J179" i="1"/>
  <c r="K179" i="1" s="1"/>
  <c r="J155" i="1"/>
  <c r="K155" i="1" s="1"/>
  <c r="J147" i="1"/>
  <c r="K147" i="1" s="1"/>
  <c r="J106" i="1"/>
  <c r="K106" i="1" s="1"/>
  <c r="J98" i="1"/>
  <c r="K98" i="1" s="1"/>
  <c r="J89" i="1"/>
  <c r="K89" i="1" s="1"/>
  <c r="J81" i="1"/>
  <c r="K81" i="1" s="1"/>
  <c r="J73" i="1"/>
  <c r="K73" i="1" s="1"/>
  <c r="J40" i="1"/>
  <c r="K40" i="1" s="1"/>
  <c r="J32" i="1"/>
  <c r="K32" i="1" s="1"/>
  <c r="J23" i="1"/>
  <c r="K23" i="1" s="1"/>
  <c r="J15" i="1"/>
  <c r="K15" i="1" s="1"/>
  <c r="J6" i="1"/>
  <c r="K6" i="1" s="1"/>
  <c r="J1126" i="1"/>
  <c r="K1126" i="1" s="1"/>
  <c r="J1060" i="1"/>
  <c r="K1060" i="1" s="1"/>
  <c r="J994" i="1"/>
  <c r="K994" i="1" s="1"/>
  <c r="J929" i="1"/>
  <c r="K929" i="1" s="1"/>
  <c r="J861" i="1"/>
  <c r="K861" i="1" s="1"/>
  <c r="J795" i="1"/>
  <c r="K795" i="1" s="1"/>
  <c r="J729" i="1"/>
  <c r="K729" i="1" s="1"/>
  <c r="J663" i="1"/>
  <c r="K663" i="1" s="1"/>
  <c r="J598" i="1"/>
  <c r="K598" i="1" s="1"/>
  <c r="J532" i="1"/>
  <c r="K532" i="1" s="1"/>
  <c r="J465" i="1"/>
  <c r="K465" i="1" s="1"/>
  <c r="J399" i="1"/>
  <c r="K399" i="1" s="1"/>
  <c r="J331" i="1"/>
  <c r="K331" i="1" s="1"/>
  <c r="J264" i="1"/>
  <c r="K264" i="1" s="1"/>
  <c r="J34" i="1"/>
  <c r="K34" i="1" s="1"/>
  <c r="J131" i="1"/>
  <c r="K131" i="1" s="1"/>
  <c r="J133" i="1"/>
  <c r="K133" i="1" s="1"/>
  <c r="J123" i="1"/>
  <c r="K123" i="1" s="1"/>
  <c r="J124" i="1"/>
  <c r="K124" i="1" s="1"/>
  <c r="J621" i="1"/>
  <c r="K621" i="1" s="1"/>
  <c r="J555" i="1"/>
  <c r="K555" i="1" s="1"/>
  <c r="J423" i="1"/>
  <c r="K423" i="1" s="1"/>
  <c r="J357" i="1"/>
  <c r="K357" i="1" s="1"/>
  <c r="J289" i="1"/>
  <c r="K289" i="1" s="1"/>
  <c r="J171" i="1"/>
  <c r="K171" i="1" s="1"/>
  <c r="J141" i="1"/>
  <c r="K141" i="1" s="1"/>
  <c r="J108" i="1"/>
  <c r="K108" i="1" s="1"/>
  <c r="J74" i="1"/>
  <c r="K74" i="1" s="1"/>
  <c r="J1172" i="1"/>
  <c r="K1172" i="1" s="1"/>
  <c r="J1164" i="1"/>
  <c r="K1164" i="1" s="1"/>
  <c r="J1156" i="1"/>
  <c r="K1156" i="1" s="1"/>
  <c r="J1148" i="1"/>
  <c r="K1148" i="1" s="1"/>
  <c r="J1140" i="1"/>
  <c r="K1140" i="1" s="1"/>
  <c r="J1131" i="1"/>
  <c r="K1131" i="1" s="1"/>
  <c r="J1122" i="1"/>
  <c r="K1122" i="1" s="1"/>
  <c r="J1114" i="1"/>
  <c r="K1114" i="1" s="1"/>
  <c r="J1105" i="1"/>
  <c r="K1105" i="1" s="1"/>
  <c r="J1097" i="1"/>
  <c r="K1097" i="1" s="1"/>
  <c r="J1089" i="1"/>
  <c r="K1089" i="1" s="1"/>
  <c r="J1081" i="1"/>
  <c r="K1081" i="1" s="1"/>
  <c r="J1073" i="1"/>
  <c r="K1073" i="1" s="1"/>
  <c r="J1065" i="1"/>
  <c r="K1065" i="1" s="1"/>
  <c r="J1057" i="1"/>
  <c r="K1057" i="1" s="1"/>
  <c r="J1048" i="1"/>
  <c r="K1048" i="1" s="1"/>
  <c r="J1040" i="1"/>
  <c r="K1040" i="1" s="1"/>
  <c r="J1032" i="1"/>
  <c r="K1032" i="1" s="1"/>
  <c r="J1024" i="1"/>
  <c r="K1024" i="1" s="1"/>
  <c r="J1016" i="1"/>
  <c r="K1016" i="1" s="1"/>
  <c r="J1008" i="1"/>
  <c r="K1008" i="1" s="1"/>
  <c r="J999" i="1"/>
  <c r="K999" i="1" s="1"/>
  <c r="J991" i="1"/>
  <c r="K991" i="1" s="1"/>
  <c r="J983" i="1"/>
  <c r="K983" i="1" s="1"/>
  <c r="J975" i="1"/>
  <c r="K975" i="1" s="1"/>
  <c r="J967" i="1"/>
  <c r="K967" i="1" s="1"/>
  <c r="J958" i="1"/>
  <c r="K958" i="1" s="1"/>
  <c r="J950" i="1"/>
  <c r="K950" i="1" s="1"/>
  <c r="J942" i="1"/>
  <c r="K942" i="1" s="1"/>
  <c r="J934" i="1"/>
  <c r="K934" i="1" s="1"/>
  <c r="J925" i="1"/>
  <c r="K925" i="1" s="1"/>
  <c r="J917" i="1"/>
  <c r="K917" i="1" s="1"/>
  <c r="J909" i="1"/>
  <c r="K909" i="1" s="1"/>
  <c r="J901" i="1"/>
  <c r="K901" i="1" s="1"/>
  <c r="J893" i="1"/>
  <c r="K893" i="1" s="1"/>
  <c r="J884" i="1"/>
  <c r="K884" i="1" s="1"/>
  <c r="J875" i="1"/>
  <c r="K875" i="1" s="1"/>
  <c r="J867" i="1"/>
  <c r="K867" i="1" s="1"/>
  <c r="J858" i="1"/>
  <c r="K858" i="1" s="1"/>
  <c r="J850" i="1"/>
  <c r="K850" i="1" s="1"/>
  <c r="J842" i="1"/>
  <c r="K842" i="1" s="1"/>
  <c r="J833" i="1"/>
  <c r="K833" i="1" s="1"/>
  <c r="J825" i="1"/>
  <c r="K825" i="1" s="1"/>
  <c r="J817" i="1"/>
  <c r="K817" i="1" s="1"/>
  <c r="J808" i="1"/>
  <c r="K808" i="1" s="1"/>
  <c r="J800" i="1"/>
  <c r="K800" i="1" s="1"/>
  <c r="J792" i="1"/>
  <c r="K792" i="1" s="1"/>
  <c r="J784" i="1"/>
  <c r="K784" i="1" s="1"/>
  <c r="J776" i="1"/>
  <c r="K776" i="1" s="1"/>
  <c r="J767" i="1"/>
  <c r="K767" i="1" s="1"/>
  <c r="J759" i="1"/>
  <c r="K759" i="1" s="1"/>
  <c r="J751" i="1"/>
  <c r="K751" i="1" s="1"/>
  <c r="J743" i="1"/>
  <c r="K743" i="1" s="1"/>
  <c r="J735" i="1"/>
  <c r="K735" i="1" s="1"/>
  <c r="J726" i="1"/>
  <c r="K726" i="1" s="1"/>
  <c r="J718" i="1"/>
  <c r="K718" i="1" s="1"/>
  <c r="J709" i="1"/>
  <c r="K709" i="1" s="1"/>
  <c r="J701" i="1"/>
  <c r="K701" i="1" s="1"/>
  <c r="J693" i="1"/>
  <c r="K693" i="1" s="1"/>
  <c r="J684" i="1"/>
  <c r="K684" i="1" s="1"/>
  <c r="J676" i="1"/>
  <c r="K676" i="1" s="1"/>
  <c r="J668" i="1"/>
  <c r="K668" i="1" s="1"/>
  <c r="J660" i="1"/>
  <c r="K660" i="1" s="1"/>
  <c r="J652" i="1"/>
  <c r="K652" i="1" s="1"/>
  <c r="J644" i="1"/>
  <c r="K644" i="1" s="1"/>
  <c r="J636" i="1"/>
  <c r="K636" i="1" s="1"/>
  <c r="J627" i="1"/>
  <c r="K627" i="1" s="1"/>
  <c r="J619" i="1"/>
  <c r="K619" i="1" s="1"/>
  <c r="J611" i="1"/>
  <c r="K611" i="1" s="1"/>
  <c r="J603" i="1"/>
  <c r="K603" i="1" s="1"/>
  <c r="J595" i="1"/>
  <c r="K595" i="1" s="1"/>
  <c r="J586" i="1"/>
  <c r="K586" i="1" s="1"/>
  <c r="J578" i="1"/>
  <c r="K578" i="1" s="1"/>
  <c r="J570" i="1"/>
  <c r="K570" i="1" s="1"/>
  <c r="J561" i="1"/>
  <c r="K561" i="1" s="1"/>
  <c r="J553" i="1"/>
  <c r="K553" i="1" s="1"/>
  <c r="J545" i="1"/>
  <c r="K545" i="1" s="1"/>
  <c r="J537" i="1"/>
  <c r="K537" i="1" s="1"/>
  <c r="J529" i="1"/>
  <c r="K529" i="1" s="1"/>
  <c r="J520" i="1"/>
  <c r="K520" i="1" s="1"/>
  <c r="J511" i="1"/>
  <c r="K511" i="1" s="1"/>
  <c r="J503" i="1"/>
  <c r="K503" i="1" s="1"/>
  <c r="J495" i="1"/>
  <c r="K495" i="1" s="1"/>
  <c r="J486" i="1"/>
  <c r="K486" i="1" s="1"/>
  <c r="J1167" i="1"/>
  <c r="K1167" i="1" s="1"/>
  <c r="J1100" i="1"/>
  <c r="K1100" i="1" s="1"/>
  <c r="J1035" i="1"/>
  <c r="K1035" i="1" s="1"/>
  <c r="J970" i="1"/>
  <c r="K970" i="1" s="1"/>
  <c r="J904" i="1"/>
  <c r="K904" i="1" s="1"/>
  <c r="J836" i="1"/>
  <c r="K836" i="1" s="1"/>
  <c r="J770" i="1"/>
  <c r="K770" i="1" s="1"/>
  <c r="J704" i="1"/>
  <c r="K704" i="1" s="1"/>
  <c r="J639" i="1"/>
  <c r="K639" i="1" s="1"/>
  <c r="J573" i="1"/>
  <c r="K573" i="1" s="1"/>
  <c r="J506" i="1"/>
  <c r="K506" i="1" s="1"/>
  <c r="J440" i="1"/>
  <c r="K440" i="1" s="1"/>
  <c r="J374" i="1"/>
  <c r="K374" i="1" s="1"/>
  <c r="J306" i="1"/>
  <c r="K306" i="1" s="1"/>
  <c r="J238" i="1"/>
  <c r="K238" i="1" s="1"/>
  <c r="J100" i="1"/>
  <c r="K100" i="1" s="1"/>
  <c r="J185" i="1"/>
  <c r="K185" i="1" s="1"/>
  <c r="J169" i="1"/>
  <c r="K169" i="1" s="1"/>
  <c r="J161" i="1"/>
  <c r="K161" i="1" s="1"/>
  <c r="J153" i="1"/>
  <c r="K153" i="1" s="1"/>
  <c r="J137" i="1"/>
  <c r="K137" i="1" s="1"/>
  <c r="J128" i="1"/>
  <c r="K128" i="1" s="1"/>
  <c r="J120" i="1"/>
  <c r="K120" i="1" s="1"/>
  <c r="J112" i="1"/>
  <c r="K112" i="1" s="1"/>
  <c r="J79" i="1"/>
  <c r="K79" i="1" s="1"/>
  <c r="J71" i="1"/>
  <c r="K71" i="1" s="1"/>
  <c r="J62" i="1"/>
  <c r="K62" i="1" s="1"/>
  <c r="J54" i="1"/>
  <c r="K54" i="1" s="1"/>
  <c r="J46" i="1"/>
  <c r="K46" i="1" s="1"/>
  <c r="J13" i="1"/>
  <c r="K13" i="1" s="1"/>
  <c r="J4" i="1"/>
  <c r="K4" i="1" s="1"/>
  <c r="J1143" i="1"/>
  <c r="K1143" i="1" s="1"/>
  <c r="J1076" i="1"/>
  <c r="K1076" i="1" s="1"/>
  <c r="J1011" i="1"/>
  <c r="K1011" i="1" s="1"/>
  <c r="J945" i="1"/>
  <c r="K945" i="1" s="1"/>
  <c r="J879" i="1"/>
  <c r="K879" i="1" s="1"/>
  <c r="J811" i="1"/>
  <c r="K811" i="1" s="1"/>
  <c r="J746" i="1"/>
  <c r="K746" i="1" s="1"/>
  <c r="J679" i="1"/>
  <c r="K679" i="1" s="1"/>
  <c r="J614" i="1"/>
  <c r="K614" i="1" s="1"/>
  <c r="J548" i="1"/>
  <c r="K548" i="1" s="1"/>
  <c r="J481" i="1"/>
  <c r="K481" i="1" s="1"/>
  <c r="J415" i="1"/>
  <c r="K415" i="1" s="1"/>
  <c r="J347" i="1"/>
  <c r="K347" i="1" s="1"/>
  <c r="J281" i="1"/>
  <c r="K281" i="1" s="1"/>
  <c r="J214" i="1"/>
  <c r="K214" i="1" s="1"/>
  <c r="J189" i="1"/>
  <c r="K189" i="1" s="1"/>
  <c r="J24" i="1"/>
  <c r="K24" i="1" s="1"/>
  <c r="G5" i="1"/>
  <c r="M777" i="1" s="1"/>
  <c r="N777" i="1" s="1"/>
  <c r="J1162" i="1"/>
  <c r="K1162" i="1" s="1"/>
  <c r="J1129" i="1"/>
  <c r="K1129" i="1" s="1"/>
  <c r="J1095" i="1"/>
  <c r="K1095" i="1" s="1"/>
  <c r="J1063" i="1"/>
  <c r="K1063" i="1" s="1"/>
  <c r="J1030" i="1"/>
  <c r="K1030" i="1" s="1"/>
  <c r="J997" i="1"/>
  <c r="K997" i="1" s="1"/>
  <c r="J965" i="1"/>
  <c r="K965" i="1" s="1"/>
  <c r="J932" i="1"/>
  <c r="K932" i="1" s="1"/>
  <c r="J899" i="1"/>
  <c r="K899" i="1" s="1"/>
  <c r="J864" i="1"/>
  <c r="K864" i="1" s="1"/>
  <c r="J831" i="1"/>
  <c r="K831" i="1" s="1"/>
  <c r="J798" i="1"/>
  <c r="K798" i="1" s="1"/>
  <c r="J765" i="1"/>
  <c r="K765" i="1" s="1"/>
  <c r="J733" i="1"/>
  <c r="K733" i="1" s="1"/>
  <c r="J699" i="1"/>
  <c r="K699" i="1" s="1"/>
  <c r="J666" i="1"/>
  <c r="K666" i="1" s="1"/>
  <c r="J588" i="1"/>
  <c r="K588" i="1" s="1"/>
  <c r="J522" i="1"/>
  <c r="K522" i="1" s="1"/>
  <c r="J455" i="1"/>
  <c r="K455" i="1" s="1"/>
  <c r="J390" i="1"/>
  <c r="K390" i="1" s="1"/>
  <c r="J321" i="1"/>
  <c r="K321" i="1" s="1"/>
  <c r="J254" i="1"/>
  <c r="K254" i="1" s="1"/>
  <c r="J156" i="1"/>
  <c r="K156" i="1" s="1"/>
  <c r="J90" i="1"/>
  <c r="K90" i="1" s="1"/>
  <c r="J1169" i="1"/>
  <c r="K1169" i="1" s="1"/>
  <c r="J1161" i="1"/>
  <c r="K1161" i="1" s="1"/>
  <c r="J1153" i="1"/>
  <c r="K1153" i="1" s="1"/>
  <c r="J1145" i="1"/>
  <c r="K1145" i="1" s="1"/>
  <c r="J1137" i="1"/>
  <c r="K1137" i="1" s="1"/>
  <c r="J1128" i="1"/>
  <c r="K1128" i="1" s="1"/>
  <c r="J1119" i="1"/>
  <c r="K1119" i="1" s="1"/>
  <c r="J1110" i="1"/>
  <c r="K1110" i="1" s="1"/>
  <c r="J1102" i="1"/>
  <c r="K1102" i="1" s="1"/>
  <c r="J1094" i="1"/>
  <c r="K1094" i="1" s="1"/>
  <c r="J1086" i="1"/>
  <c r="K1086" i="1" s="1"/>
  <c r="J1078" i="1"/>
  <c r="K1078" i="1" s="1"/>
  <c r="J1070" i="1"/>
  <c r="K1070" i="1" s="1"/>
  <c r="J1062" i="1"/>
  <c r="K1062" i="1" s="1"/>
  <c r="J1054" i="1"/>
  <c r="K1054" i="1" s="1"/>
  <c r="J1045" i="1"/>
  <c r="K1045" i="1" s="1"/>
  <c r="J1037" i="1"/>
  <c r="K1037" i="1" s="1"/>
  <c r="J1029" i="1"/>
  <c r="K1029" i="1" s="1"/>
  <c r="J1021" i="1"/>
  <c r="K1021" i="1" s="1"/>
  <c r="J1013" i="1"/>
  <c r="K1013" i="1" s="1"/>
  <c r="J1005" i="1"/>
  <c r="K1005" i="1" s="1"/>
  <c r="J996" i="1"/>
  <c r="K996" i="1" s="1"/>
  <c r="J988" i="1"/>
  <c r="K988" i="1" s="1"/>
  <c r="J980" i="1"/>
  <c r="K980" i="1" s="1"/>
  <c r="J972" i="1"/>
  <c r="K972" i="1" s="1"/>
  <c r="J964" i="1"/>
  <c r="K964" i="1" s="1"/>
  <c r="J955" i="1"/>
  <c r="K955" i="1" s="1"/>
  <c r="J947" i="1"/>
  <c r="K947" i="1" s="1"/>
  <c r="J939" i="1"/>
  <c r="K939" i="1" s="1"/>
  <c r="J931" i="1"/>
  <c r="K931" i="1" s="1"/>
  <c r="J922" i="1"/>
  <c r="K922" i="1" s="1"/>
  <c r="J914" i="1"/>
  <c r="K914" i="1" s="1"/>
  <c r="J906" i="1"/>
  <c r="K906" i="1" s="1"/>
  <c r="J898" i="1"/>
  <c r="K898" i="1" s="1"/>
  <c r="J889" i="1"/>
  <c r="K889" i="1" s="1"/>
  <c r="J881" i="1"/>
  <c r="K881" i="1" s="1"/>
  <c r="J872" i="1"/>
  <c r="K872" i="1" s="1"/>
  <c r="J863" i="1"/>
  <c r="K863" i="1" s="1"/>
  <c r="J855" i="1"/>
  <c r="K855" i="1" s="1"/>
  <c r="J847" i="1"/>
  <c r="K847" i="1" s="1"/>
  <c r="J839" i="1"/>
  <c r="K839" i="1" s="1"/>
  <c r="J830" i="1"/>
  <c r="K830" i="1" s="1"/>
  <c r="J822" i="1"/>
  <c r="K822" i="1" s="1"/>
  <c r="J813" i="1"/>
  <c r="K813" i="1" s="1"/>
  <c r="J805" i="1"/>
  <c r="K805" i="1" s="1"/>
  <c r="J797" i="1"/>
  <c r="K797" i="1" s="1"/>
  <c r="J789" i="1"/>
  <c r="K789" i="1" s="1"/>
  <c r="J781" i="1"/>
  <c r="K781" i="1" s="1"/>
  <c r="J772" i="1"/>
  <c r="K772" i="1" s="1"/>
  <c r="J764" i="1"/>
  <c r="K764" i="1" s="1"/>
  <c r="J756" i="1"/>
  <c r="K756" i="1" s="1"/>
  <c r="J748" i="1"/>
  <c r="K748" i="1" s="1"/>
  <c r="J740" i="1"/>
  <c r="K740" i="1" s="1"/>
  <c r="J732" i="1"/>
  <c r="K732" i="1" s="1"/>
  <c r="J723" i="1"/>
  <c r="K723" i="1" s="1"/>
  <c r="J714" i="1"/>
  <c r="K714" i="1" s="1"/>
  <c r="J706" i="1"/>
  <c r="K706" i="1" s="1"/>
  <c r="J698" i="1"/>
  <c r="K698" i="1" s="1"/>
  <c r="J689" i="1"/>
  <c r="K689" i="1" s="1"/>
  <c r="J681" i="1"/>
  <c r="K681" i="1" s="1"/>
  <c r="J673" i="1"/>
  <c r="K673" i="1" s="1"/>
  <c r="J665" i="1"/>
  <c r="K665" i="1" s="1"/>
  <c r="J657" i="1"/>
  <c r="K657" i="1" s="1"/>
  <c r="J649" i="1"/>
  <c r="K649" i="1" s="1"/>
  <c r="J641" i="1"/>
  <c r="K641" i="1" s="1"/>
  <c r="J632" i="1"/>
  <c r="K632" i="1" s="1"/>
  <c r="J633" i="1"/>
  <c r="K633" i="1" s="1"/>
  <c r="J624" i="1"/>
  <c r="K624" i="1" s="1"/>
  <c r="J616" i="1"/>
  <c r="K616" i="1" s="1"/>
  <c r="J608" i="1"/>
  <c r="K608" i="1" s="1"/>
  <c r="J600" i="1"/>
  <c r="K600" i="1" s="1"/>
  <c r="J601" i="1"/>
  <c r="K601" i="1" s="1"/>
  <c r="J591" i="1"/>
  <c r="K591" i="1" s="1"/>
  <c r="J583" i="1"/>
  <c r="K583" i="1" s="1"/>
  <c r="J575" i="1"/>
  <c r="K575" i="1" s="1"/>
  <c r="J567" i="1"/>
  <c r="K567" i="1" s="1"/>
  <c r="J568" i="1"/>
  <c r="K568" i="1" s="1"/>
  <c r="J558" i="1"/>
  <c r="K558" i="1" s="1"/>
  <c r="J550" i="1"/>
  <c r="K550" i="1" s="1"/>
  <c r="J542" i="1"/>
  <c r="K542" i="1" s="1"/>
  <c r="J534" i="1"/>
  <c r="K534" i="1" s="1"/>
  <c r="J535" i="1"/>
  <c r="K535" i="1" s="1"/>
  <c r="J525" i="1"/>
  <c r="K525" i="1" s="1"/>
  <c r="J517" i="1"/>
  <c r="K517" i="1" s="1"/>
  <c r="J508" i="1"/>
  <c r="K508" i="1" s="1"/>
  <c r="J500" i="1"/>
  <c r="K500" i="1" s="1"/>
  <c r="J501" i="1"/>
  <c r="K501" i="1" s="1"/>
  <c r="J491" i="1"/>
  <c r="K491" i="1" s="1"/>
  <c r="J483" i="1"/>
  <c r="K483" i="1" s="1"/>
  <c r="J475" i="1"/>
  <c r="K475" i="1" s="1"/>
  <c r="J467" i="1"/>
  <c r="K467" i="1" s="1"/>
  <c r="J468" i="1"/>
  <c r="K468" i="1" s="1"/>
  <c r="J459" i="1"/>
  <c r="K459" i="1" s="1"/>
  <c r="J450" i="1"/>
  <c r="K450" i="1" s="1"/>
  <c r="J442" i="1"/>
  <c r="K442" i="1" s="1"/>
  <c r="J434" i="1"/>
  <c r="K434" i="1" s="1"/>
  <c r="J435" i="1"/>
  <c r="K435" i="1" s="1"/>
  <c r="J426" i="1"/>
  <c r="K426" i="1" s="1"/>
  <c r="J417" i="1"/>
  <c r="K417" i="1" s="1"/>
  <c r="J409" i="1"/>
  <c r="K409" i="1" s="1"/>
  <c r="J401" i="1"/>
  <c r="K401" i="1" s="1"/>
  <c r="J402" i="1"/>
  <c r="K402" i="1" s="1"/>
  <c r="J393" i="1"/>
  <c r="K393" i="1" s="1"/>
  <c r="J385" i="1"/>
  <c r="K385" i="1" s="1"/>
  <c r="J376" i="1"/>
  <c r="K376" i="1" s="1"/>
  <c r="J368" i="1"/>
  <c r="K368" i="1" s="1"/>
  <c r="J369" i="1"/>
  <c r="K369" i="1" s="1"/>
  <c r="J360" i="1"/>
  <c r="K360" i="1" s="1"/>
  <c r="J349" i="1"/>
  <c r="K349" i="1" s="1"/>
  <c r="J341" i="1"/>
  <c r="K341" i="1" s="1"/>
  <c r="J333" i="1"/>
  <c r="K333" i="1" s="1"/>
  <c r="J334" i="1"/>
  <c r="K334" i="1" s="1"/>
  <c r="J325" i="1"/>
  <c r="K325" i="1" s="1"/>
  <c r="J316" i="1"/>
  <c r="K316" i="1" s="1"/>
  <c r="J308" i="1"/>
  <c r="K308" i="1" s="1"/>
  <c r="J300" i="1"/>
  <c r="K300" i="1" s="1"/>
  <c r="J301" i="1"/>
  <c r="K301" i="1" s="1"/>
  <c r="J292" i="1"/>
  <c r="K292" i="1" s="1"/>
  <c r="J283" i="1"/>
  <c r="K283" i="1" s="1"/>
  <c r="J275" i="1"/>
  <c r="K275" i="1" s="1"/>
  <c r="J266" i="1"/>
  <c r="K266" i="1" s="1"/>
  <c r="J267" i="1"/>
  <c r="K267" i="1" s="1"/>
  <c r="J257" i="1"/>
  <c r="K257" i="1" s="1"/>
  <c r="J249" i="1"/>
  <c r="K249" i="1" s="1"/>
  <c r="J240" i="1"/>
  <c r="K240" i="1" s="1"/>
  <c r="J232" i="1"/>
  <c r="K232" i="1" s="1"/>
  <c r="J233" i="1"/>
  <c r="K233" i="1" s="1"/>
  <c r="J224" i="1"/>
  <c r="K224" i="1" s="1"/>
  <c r="J216" i="1"/>
  <c r="K216" i="1" s="1"/>
  <c r="J208" i="1"/>
  <c r="K208" i="1" s="1"/>
  <c r="J200" i="1"/>
  <c r="K200" i="1" s="1"/>
  <c r="J201" i="1"/>
  <c r="K201" i="1" s="1"/>
  <c r="J192" i="1"/>
  <c r="K192" i="1" s="1"/>
  <c r="J183" i="1"/>
  <c r="K183" i="1" s="1"/>
  <c r="J175" i="1"/>
  <c r="K175" i="1" s="1"/>
  <c r="J176" i="1"/>
  <c r="K176" i="1" s="1"/>
  <c r="J167" i="1"/>
  <c r="K167" i="1" s="1"/>
  <c r="J168" i="1"/>
  <c r="K168" i="1" s="1"/>
  <c r="J159" i="1"/>
  <c r="K159" i="1" s="1"/>
  <c r="J151" i="1"/>
  <c r="K151" i="1" s="1"/>
  <c r="J143" i="1"/>
  <c r="K143" i="1" s="1"/>
  <c r="J144" i="1"/>
  <c r="K144" i="1" s="1"/>
  <c r="J135" i="1"/>
  <c r="K135" i="1" s="1"/>
  <c r="J136" i="1"/>
  <c r="K136" i="1" s="1"/>
  <c r="J126" i="1"/>
  <c r="K126" i="1" s="1"/>
  <c r="J118" i="1"/>
  <c r="K118" i="1" s="1"/>
  <c r="J119" i="1"/>
  <c r="K119" i="1" s="1"/>
  <c r="J110" i="1"/>
  <c r="K110" i="1" s="1"/>
  <c r="J111" i="1"/>
  <c r="K111" i="1" s="1"/>
  <c r="J102" i="1"/>
  <c r="K102" i="1" s="1"/>
  <c r="J103" i="1"/>
  <c r="K103" i="1" s="1"/>
  <c r="J93" i="1"/>
  <c r="K93" i="1" s="1"/>
  <c r="J95" i="1"/>
  <c r="K95" i="1" s="1"/>
  <c r="J85" i="1"/>
  <c r="K85" i="1" s="1"/>
  <c r="J86" i="1"/>
  <c r="K86" i="1" s="1"/>
  <c r="J77" i="1"/>
  <c r="K77" i="1" s="1"/>
  <c r="J69" i="1"/>
  <c r="K69" i="1" s="1"/>
  <c r="J60" i="1"/>
  <c r="K60" i="1" s="1"/>
  <c r="J45" i="1"/>
  <c r="K45" i="1" s="1"/>
  <c r="J29" i="1"/>
  <c r="K29" i="1" s="1"/>
  <c r="J20" i="1"/>
  <c r="K20" i="1" s="1"/>
  <c r="J1159" i="1"/>
  <c r="K1159" i="1" s="1"/>
  <c r="J1092" i="1"/>
  <c r="K1092" i="1" s="1"/>
  <c r="J1027" i="1"/>
  <c r="K1027" i="1" s="1"/>
  <c r="J962" i="1"/>
  <c r="K962" i="1" s="1"/>
  <c r="J896" i="1"/>
  <c r="K896" i="1" s="1"/>
  <c r="J828" i="1"/>
  <c r="K828" i="1" s="1"/>
  <c r="J762" i="1"/>
  <c r="K762" i="1" s="1"/>
  <c r="J696" i="1"/>
  <c r="K696" i="1" s="1"/>
  <c r="J630" i="1"/>
  <c r="K630" i="1" s="1"/>
  <c r="J609" i="1"/>
  <c r="K609" i="1" s="1"/>
  <c r="J565" i="1"/>
  <c r="K565" i="1" s="1"/>
  <c r="J543" i="1"/>
  <c r="K543" i="1" s="1"/>
  <c r="J498" i="1"/>
  <c r="K498" i="1" s="1"/>
  <c r="J476" i="1"/>
  <c r="K476" i="1" s="1"/>
  <c r="J432" i="1"/>
  <c r="K432" i="1" s="1"/>
  <c r="J410" i="1"/>
  <c r="K410" i="1" s="1"/>
  <c r="J366" i="1"/>
  <c r="K366" i="1" s="1"/>
  <c r="J342" i="1"/>
  <c r="K342" i="1" s="1"/>
  <c r="J298" i="1"/>
  <c r="K298" i="1" s="1"/>
  <c r="J276" i="1"/>
  <c r="K276" i="1" s="1"/>
  <c r="J230" i="1"/>
  <c r="K230" i="1" s="1"/>
  <c r="J209" i="1"/>
  <c r="K209" i="1" s="1"/>
  <c r="J181" i="1"/>
  <c r="K181" i="1" s="1"/>
  <c r="J152" i="1"/>
  <c r="K152" i="1" s="1"/>
  <c r="J50" i="1"/>
  <c r="K50" i="1" s="1"/>
  <c r="J16" i="1"/>
  <c r="K16" i="1" s="1"/>
  <c r="J223" i="1"/>
  <c r="K223" i="1" s="1"/>
  <c r="J215" i="1"/>
  <c r="K215" i="1" s="1"/>
  <c r="J207" i="1"/>
  <c r="K207" i="1" s="1"/>
  <c r="J191" i="1"/>
  <c r="K191" i="1" s="1"/>
  <c r="J182" i="1"/>
  <c r="K182" i="1" s="1"/>
  <c r="J174" i="1"/>
  <c r="K174" i="1" s="1"/>
  <c r="J158" i="1"/>
  <c r="K158" i="1" s="1"/>
  <c r="J150" i="1"/>
  <c r="K150" i="1" s="1"/>
  <c r="J142" i="1"/>
  <c r="K142" i="1" s="1"/>
  <c r="J125" i="1"/>
  <c r="K125" i="1" s="1"/>
  <c r="J117" i="1"/>
  <c r="K117" i="1" s="1"/>
  <c r="J109" i="1"/>
  <c r="K109" i="1" s="1"/>
  <c r="J101" i="1"/>
  <c r="K101" i="1" s="1"/>
  <c r="J92" i="1"/>
  <c r="K92" i="1" s="1"/>
  <c r="J84" i="1"/>
  <c r="K84" i="1" s="1"/>
  <c r="J76" i="1"/>
  <c r="K76" i="1" s="1"/>
  <c r="J68" i="1"/>
  <c r="K68" i="1" s="1"/>
  <c r="J59" i="1"/>
  <c r="K59" i="1" s="1"/>
  <c r="J51" i="1"/>
  <c r="K51" i="1" s="1"/>
  <c r="J43" i="1"/>
  <c r="K43" i="1" s="1"/>
  <c r="J35" i="1"/>
  <c r="K35" i="1" s="1"/>
  <c r="J26" i="1"/>
  <c r="K26" i="1" s="1"/>
  <c r="J18" i="1"/>
  <c r="K18" i="1" s="1"/>
  <c r="J9" i="1"/>
  <c r="K9" i="1" s="1"/>
  <c r="J1135" i="1"/>
  <c r="K1135" i="1" s="1"/>
  <c r="J1068" i="1"/>
  <c r="K1068" i="1" s="1"/>
  <c r="J1002" i="1"/>
  <c r="K1002" i="1" s="1"/>
  <c r="J937" i="1"/>
  <c r="K937" i="1" s="1"/>
  <c r="J870" i="1"/>
  <c r="K870" i="1" s="1"/>
  <c r="J803" i="1"/>
  <c r="K803" i="1" s="1"/>
  <c r="J738" i="1"/>
  <c r="K738" i="1" s="1"/>
  <c r="J671" i="1"/>
  <c r="K671" i="1" s="1"/>
  <c r="J606" i="1"/>
  <c r="K606" i="1" s="1"/>
  <c r="J584" i="1"/>
  <c r="K584" i="1" s="1"/>
  <c r="J540" i="1"/>
  <c r="K540" i="1" s="1"/>
  <c r="J518" i="1"/>
  <c r="K518" i="1" s="1"/>
  <c r="J473" i="1"/>
  <c r="K473" i="1" s="1"/>
  <c r="J451" i="1"/>
  <c r="K451" i="1" s="1"/>
  <c r="J407" i="1"/>
  <c r="K407" i="1" s="1"/>
  <c r="J386" i="1"/>
  <c r="K386" i="1" s="1"/>
  <c r="J339" i="1"/>
  <c r="K339" i="1" s="1"/>
  <c r="J317" i="1"/>
  <c r="K317" i="1" s="1"/>
  <c r="J273" i="1"/>
  <c r="K273" i="1" s="1"/>
  <c r="J250" i="1"/>
  <c r="K250" i="1" s="1"/>
  <c r="J206" i="1"/>
  <c r="K206" i="1" s="1"/>
  <c r="J149" i="1"/>
  <c r="K149" i="1" s="1"/>
  <c r="J116" i="1"/>
  <c r="K116" i="1" s="1"/>
  <c r="J82" i="1"/>
  <c r="K82" i="1" s="1"/>
  <c r="J48" i="1"/>
  <c r="K48" i="1" s="1"/>
  <c r="J11" i="1"/>
  <c r="K11" i="1" s="1"/>
  <c r="J1177" i="1"/>
  <c r="K1177" i="1" s="1"/>
  <c r="J1176" i="1"/>
  <c r="K1176" i="1" s="1"/>
  <c r="J1151" i="1"/>
  <c r="K1151" i="1" s="1"/>
  <c r="J1117" i="1"/>
  <c r="K1117" i="1" s="1"/>
  <c r="J1084" i="1"/>
  <c r="K1084" i="1" s="1"/>
  <c r="J1052" i="1"/>
  <c r="K1052" i="1" s="1"/>
  <c r="J1019" i="1"/>
  <c r="K1019" i="1" s="1"/>
  <c r="J986" i="1"/>
  <c r="K986" i="1" s="1"/>
  <c r="J953" i="1"/>
  <c r="K953" i="1" s="1"/>
  <c r="J920" i="1"/>
  <c r="K920" i="1" s="1"/>
  <c r="J887" i="1"/>
  <c r="K887" i="1" s="1"/>
  <c r="J853" i="1"/>
  <c r="K853" i="1" s="1"/>
  <c r="J820" i="1"/>
  <c r="K820" i="1" s="1"/>
  <c r="J787" i="1"/>
  <c r="K787" i="1" s="1"/>
  <c r="J754" i="1"/>
  <c r="K754" i="1" s="1"/>
  <c r="J721" i="1"/>
  <c r="K721" i="1" s="1"/>
  <c r="J687" i="1"/>
  <c r="K687" i="1" s="1"/>
  <c r="J655" i="1"/>
  <c r="K655" i="1" s="1"/>
  <c r="J1175" i="1"/>
  <c r="K1175" i="1" s="1"/>
  <c r="J1108" i="1"/>
  <c r="K1108" i="1" s="1"/>
  <c r="J1043" i="1"/>
  <c r="K1043" i="1" s="1"/>
  <c r="J978" i="1"/>
  <c r="K978" i="1" s="1"/>
  <c r="J912" i="1"/>
  <c r="K912" i="1" s="1"/>
  <c r="J845" i="1"/>
  <c r="K845" i="1" s="1"/>
  <c r="J779" i="1"/>
  <c r="K779" i="1" s="1"/>
  <c r="J712" i="1"/>
  <c r="K712" i="1" s="1"/>
  <c r="J647" i="1"/>
  <c r="K647" i="1" s="1"/>
  <c r="J625" i="1"/>
  <c r="K625" i="1" s="1"/>
  <c r="J581" i="1"/>
  <c r="K581" i="1" s="1"/>
  <c r="J559" i="1"/>
  <c r="K559" i="1" s="1"/>
  <c r="J515" i="1"/>
  <c r="K515" i="1" s="1"/>
  <c r="J492" i="1"/>
  <c r="K492" i="1" s="1"/>
  <c r="J448" i="1"/>
  <c r="K448" i="1" s="1"/>
  <c r="J427" i="1"/>
  <c r="K427" i="1" s="1"/>
  <c r="J382" i="1"/>
  <c r="K382" i="1" s="1"/>
  <c r="J361" i="1"/>
  <c r="K361" i="1" s="1"/>
  <c r="J314" i="1"/>
  <c r="K314" i="1" s="1"/>
  <c r="J293" i="1"/>
  <c r="K293" i="1" s="1"/>
  <c r="J247" i="1"/>
  <c r="K247" i="1" s="1"/>
  <c r="J225" i="1"/>
  <c r="K225" i="1" s="1"/>
  <c r="J173" i="1"/>
  <c r="K173" i="1" s="1"/>
  <c r="J78" i="1"/>
  <c r="K78" i="1" s="1"/>
  <c r="J42" i="1"/>
  <c r="K42" i="1" s="1"/>
  <c r="J7" i="1"/>
  <c r="K7" i="1" s="1"/>
  <c r="J478" i="1"/>
  <c r="K478" i="1" s="1"/>
  <c r="J470" i="1"/>
  <c r="K470" i="1" s="1"/>
  <c r="J462" i="1"/>
  <c r="K462" i="1" s="1"/>
  <c r="J453" i="1"/>
  <c r="K453" i="1" s="1"/>
  <c r="J445" i="1"/>
  <c r="K445" i="1" s="1"/>
  <c r="J437" i="1"/>
  <c r="K437" i="1" s="1"/>
  <c r="J429" i="1"/>
  <c r="K429" i="1" s="1"/>
  <c r="J421" i="1"/>
  <c r="K421" i="1" s="1"/>
  <c r="J412" i="1"/>
  <c r="K412" i="1" s="1"/>
  <c r="J404" i="1"/>
  <c r="K404" i="1" s="1"/>
  <c r="J396" i="1"/>
  <c r="K396" i="1" s="1"/>
  <c r="J388" i="1"/>
  <c r="K388" i="1" s="1"/>
  <c r="J379" i="1"/>
  <c r="K379" i="1" s="1"/>
  <c r="J371" i="1"/>
  <c r="K371" i="1" s="1"/>
  <c r="J363" i="1"/>
  <c r="K363" i="1" s="1"/>
  <c r="J355" i="1"/>
  <c r="K355" i="1" s="1"/>
  <c r="J344" i="1"/>
  <c r="K344" i="1" s="1"/>
  <c r="J336" i="1"/>
  <c r="K336" i="1" s="1"/>
  <c r="J328" i="1"/>
  <c r="K328" i="1" s="1"/>
  <c r="J319" i="1"/>
  <c r="K319" i="1" s="1"/>
  <c r="J311" i="1"/>
  <c r="K311" i="1" s="1"/>
  <c r="J303" i="1"/>
  <c r="K303" i="1" s="1"/>
  <c r="J295" i="1"/>
  <c r="K295" i="1" s="1"/>
  <c r="J287" i="1"/>
  <c r="K287" i="1" s="1"/>
  <c r="J278" i="1"/>
  <c r="K278" i="1" s="1"/>
  <c r="J270" i="1"/>
  <c r="K270" i="1" s="1"/>
  <c r="J261" i="1"/>
  <c r="K261" i="1" s="1"/>
  <c r="J252" i="1"/>
  <c r="K252" i="1" s="1"/>
  <c r="J244" i="1"/>
  <c r="K244" i="1" s="1"/>
  <c r="J235" i="1"/>
  <c r="K235" i="1" s="1"/>
  <c r="J227" i="1"/>
  <c r="K227" i="1" s="1"/>
  <c r="J219" i="1"/>
  <c r="K219" i="1" s="1"/>
  <c r="J211" i="1"/>
  <c r="K211" i="1" s="1"/>
  <c r="J203" i="1"/>
  <c r="K203" i="1" s="1"/>
  <c r="J195" i="1"/>
  <c r="K195" i="1" s="1"/>
  <c r="J186" i="1"/>
  <c r="K186" i="1" s="1"/>
  <c r="J178" i="1"/>
  <c r="K178" i="1" s="1"/>
  <c r="J170" i="1"/>
  <c r="K170" i="1" s="1"/>
  <c r="J162" i="1"/>
  <c r="K162" i="1" s="1"/>
  <c r="J154" i="1"/>
  <c r="K154" i="1" s="1"/>
  <c r="J146" i="1"/>
  <c r="K146" i="1" s="1"/>
  <c r="J138" i="1"/>
  <c r="K138" i="1" s="1"/>
  <c r="J129" i="1"/>
  <c r="K129" i="1" s="1"/>
  <c r="J121" i="1"/>
  <c r="K121" i="1" s="1"/>
  <c r="J113" i="1"/>
  <c r="K113" i="1" s="1"/>
  <c r="J105" i="1"/>
  <c r="K105" i="1" s="1"/>
  <c r="J97" i="1"/>
  <c r="K97" i="1" s="1"/>
  <c r="J88" i="1"/>
  <c r="K88" i="1" s="1"/>
  <c r="J80" i="1"/>
  <c r="K80" i="1" s="1"/>
  <c r="J72" i="1"/>
  <c r="K72" i="1" s="1"/>
  <c r="J64" i="1"/>
  <c r="K64" i="1" s="1"/>
  <c r="J55" i="1"/>
  <c r="K55" i="1" s="1"/>
  <c r="J47" i="1"/>
  <c r="K47" i="1" s="1"/>
  <c r="J39" i="1"/>
  <c r="K39" i="1" s="1"/>
  <c r="J31" i="1"/>
  <c r="K31" i="1" s="1"/>
  <c r="J22" i="1"/>
  <c r="K22" i="1" s="1"/>
  <c r="J14" i="1"/>
  <c r="K14" i="1" s="1"/>
  <c r="J5" i="1"/>
  <c r="K5" i="1" s="1"/>
  <c r="J52" i="1"/>
  <c r="K52" i="1" s="1"/>
  <c r="J44" i="1"/>
  <c r="K44" i="1" s="1"/>
  <c r="J36" i="1"/>
  <c r="K36" i="1" s="1"/>
  <c r="J27" i="1"/>
  <c r="K27" i="1" s="1"/>
  <c r="J19" i="1"/>
  <c r="K19" i="1" s="1"/>
  <c r="J10" i="1"/>
  <c r="K10" i="1" s="1"/>
  <c r="J53" i="1"/>
  <c r="K53" i="1" s="1"/>
  <c r="J37" i="1"/>
  <c r="K37" i="1" s="1"/>
  <c r="M159" i="1" l="1"/>
  <c r="N159" i="1" s="1"/>
  <c r="M1024" i="1"/>
  <c r="N1024" i="1" s="1"/>
  <c r="R1024" i="1" s="1"/>
  <c r="M346" i="1"/>
  <c r="N346" i="1" s="1"/>
  <c r="M376" i="1"/>
  <c r="N376" i="1" s="1"/>
  <c r="R376" i="1" s="1"/>
  <c r="M384" i="1"/>
  <c r="N384" i="1" s="1"/>
  <c r="R384" i="1" s="1"/>
  <c r="M486" i="1"/>
  <c r="N486" i="1" s="1"/>
  <c r="R486" i="1" s="1"/>
  <c r="M343" i="1"/>
  <c r="N343" i="1" s="1"/>
  <c r="R343" i="1" s="1"/>
  <c r="M131" i="1"/>
  <c r="N131" i="1" s="1"/>
  <c r="R131" i="1" s="1"/>
  <c r="S8" i="1" s="1"/>
  <c r="M1035" i="1"/>
  <c r="N1035" i="1" s="1"/>
  <c r="R1035" i="1" s="1"/>
  <c r="M532" i="1"/>
  <c r="N532" i="1" s="1"/>
  <c r="R532" i="1" s="1"/>
  <c r="M686" i="1"/>
  <c r="N686" i="1" s="1"/>
  <c r="R686" i="1" s="1"/>
  <c r="M307" i="1"/>
  <c r="N307" i="1" s="1"/>
  <c r="R307" i="1" s="1"/>
  <c r="M717" i="1"/>
  <c r="N717" i="1" s="1"/>
  <c r="R717" i="1" s="1"/>
  <c r="M1042" i="1"/>
  <c r="N1042" i="1" s="1"/>
  <c r="R1042" i="1" s="1"/>
  <c r="R346" i="1"/>
  <c r="R159" i="1"/>
  <c r="P1179" i="1"/>
  <c r="M248" i="1"/>
  <c r="N248" i="1" s="1"/>
  <c r="R248" i="1" s="1"/>
  <c r="M568" i="1"/>
  <c r="N568" i="1" s="1"/>
  <c r="R568" i="1" s="1"/>
  <c r="M907" i="1"/>
  <c r="N907" i="1" s="1"/>
  <c r="R907" i="1" s="1"/>
  <c r="M92" i="1"/>
  <c r="N92" i="1" s="1"/>
  <c r="R92" i="1" s="1"/>
  <c r="M214" i="1"/>
  <c r="N214" i="1" s="1"/>
  <c r="R214" i="1" s="1"/>
  <c r="M14" i="1"/>
  <c r="N14" i="1" s="1"/>
  <c r="R14" i="1" s="1"/>
  <c r="M1142" i="1"/>
  <c r="N1142" i="1" s="1"/>
  <c r="R1142" i="1" s="1"/>
  <c r="M759" i="1"/>
  <c r="N759" i="1" s="1"/>
  <c r="R759" i="1" s="1"/>
  <c r="M11" i="1"/>
  <c r="N11" i="1" s="1"/>
  <c r="M804" i="1"/>
  <c r="N804" i="1" s="1"/>
  <c r="R804" i="1" s="1"/>
  <c r="M13" i="1"/>
  <c r="N13" i="1" s="1"/>
  <c r="R13" i="1" s="1"/>
  <c r="M1077" i="1"/>
  <c r="N1077" i="1" s="1"/>
  <c r="R1077" i="1" s="1"/>
  <c r="M1125" i="1"/>
  <c r="N1125" i="1" s="1"/>
  <c r="M1026" i="1"/>
  <c r="N1026" i="1" s="1"/>
  <c r="R1026" i="1" s="1"/>
  <c r="M944" i="1"/>
  <c r="N944" i="1" s="1"/>
  <c r="R944" i="1" s="1"/>
  <c r="M869" i="1"/>
  <c r="N869" i="1" s="1"/>
  <c r="R869" i="1" s="1"/>
  <c r="M1141" i="1"/>
  <c r="N1141" i="1" s="1"/>
  <c r="R1141" i="1" s="1"/>
  <c r="M1066" i="1"/>
  <c r="N1066" i="1" s="1"/>
  <c r="R1066" i="1" s="1"/>
  <c r="M992" i="1"/>
  <c r="N992" i="1" s="1"/>
  <c r="M1112" i="1"/>
  <c r="N1112" i="1" s="1"/>
  <c r="R1112" i="1" s="1"/>
  <c r="S49" i="1" s="1"/>
  <c r="M1039" i="1"/>
  <c r="N1039" i="1" s="1"/>
  <c r="R1039" i="1" s="1"/>
  <c r="M957" i="1"/>
  <c r="N957" i="1" s="1"/>
  <c r="R957" i="1" s="1"/>
  <c r="M883" i="1"/>
  <c r="N883" i="1" s="1"/>
  <c r="R883" i="1" s="1"/>
  <c r="M807" i="1"/>
  <c r="N807" i="1" s="1"/>
  <c r="R807" i="1" s="1"/>
  <c r="M734" i="1"/>
  <c r="N734" i="1" s="1"/>
  <c r="R734" i="1" s="1"/>
  <c r="M1129" i="1"/>
  <c r="N1129" i="1" s="1"/>
  <c r="R1129" i="1" s="1"/>
  <c r="M1087" i="1"/>
  <c r="N1087" i="1" s="1"/>
  <c r="R1087" i="1" s="1"/>
  <c r="M1045" i="1"/>
  <c r="N1045" i="1" s="1"/>
  <c r="R1045" i="1" s="1"/>
  <c r="M997" i="1"/>
  <c r="N997" i="1" s="1"/>
  <c r="R997" i="1" s="1"/>
  <c r="M956" i="1"/>
  <c r="N956" i="1" s="1"/>
  <c r="R956" i="1" s="1"/>
  <c r="M915" i="1"/>
  <c r="N915" i="1" s="1"/>
  <c r="R915" i="1" s="1"/>
  <c r="M873" i="1"/>
  <c r="N873" i="1" s="1"/>
  <c r="R873" i="1" s="1"/>
  <c r="M830" i="1"/>
  <c r="N830" i="1" s="1"/>
  <c r="M789" i="1"/>
  <c r="N789" i="1" s="1"/>
  <c r="R789" i="1" s="1"/>
  <c r="M716" i="1"/>
  <c r="N716" i="1" s="1"/>
  <c r="M642" i="1"/>
  <c r="N642" i="1" s="1"/>
  <c r="R642" i="1" s="1"/>
  <c r="M475" i="1"/>
  <c r="N475" i="1" s="1"/>
  <c r="R475" i="1" s="1"/>
  <c r="M1167" i="1"/>
  <c r="N1167" i="1" s="1"/>
  <c r="R1167" i="1" s="1"/>
  <c r="M1092" i="1"/>
  <c r="N1092" i="1" s="1"/>
  <c r="R1092" i="1" s="1"/>
  <c r="M1019" i="1"/>
  <c r="N1019" i="1" s="1"/>
  <c r="R1019" i="1" s="1"/>
  <c r="M945" i="1"/>
  <c r="N945" i="1" s="1"/>
  <c r="R945" i="1" s="1"/>
  <c r="M861" i="1"/>
  <c r="N861" i="1" s="1"/>
  <c r="R861" i="1" s="1"/>
  <c r="M787" i="1"/>
  <c r="N787" i="1" s="1"/>
  <c r="R787" i="1" s="1"/>
  <c r="M589" i="1"/>
  <c r="N589" i="1" s="1"/>
  <c r="R589" i="1" s="1"/>
  <c r="M375" i="1"/>
  <c r="N375" i="1" s="1"/>
  <c r="R375" i="1" s="1"/>
  <c r="M852" i="1"/>
  <c r="N852" i="1" s="1"/>
  <c r="R852" i="1" s="1"/>
  <c r="M778" i="1"/>
  <c r="N778" i="1" s="1"/>
  <c r="R778" i="1" s="1"/>
  <c r="M703" i="1"/>
  <c r="N703" i="1" s="1"/>
  <c r="R703" i="1" s="1"/>
  <c r="M621" i="1"/>
  <c r="N621" i="1" s="1"/>
  <c r="R621" i="1" s="1"/>
  <c r="M539" i="1"/>
  <c r="N539" i="1" s="1"/>
  <c r="R539" i="1" s="1"/>
  <c r="M464" i="1"/>
  <c r="N464" i="1" s="1"/>
  <c r="R464" i="1" s="1"/>
  <c r="M373" i="1"/>
  <c r="N373" i="1" s="1"/>
  <c r="R373" i="1" s="1"/>
  <c r="M205" i="1"/>
  <c r="N205" i="1" s="1"/>
  <c r="R205" i="1" s="1"/>
  <c r="M918" i="1"/>
  <c r="N918" i="1" s="1"/>
  <c r="R918" i="1" s="1"/>
  <c r="M843" i="1"/>
  <c r="N843" i="1" s="1"/>
  <c r="R843" i="1" s="1"/>
  <c r="M760" i="1"/>
  <c r="N760" i="1" s="1"/>
  <c r="R760" i="1" s="1"/>
  <c r="M685" i="1"/>
  <c r="N685" i="1" s="1"/>
  <c r="R685" i="1" s="1"/>
  <c r="M612" i="1"/>
  <c r="N612" i="1" s="1"/>
  <c r="R612" i="1" s="1"/>
  <c r="M538" i="1"/>
  <c r="N538" i="1" s="1"/>
  <c r="R538" i="1" s="1"/>
  <c r="M463" i="1"/>
  <c r="N463" i="1" s="1"/>
  <c r="R463" i="1" s="1"/>
  <c r="M389" i="1"/>
  <c r="N389" i="1" s="1"/>
  <c r="R389" i="1" s="1"/>
  <c r="M1148" i="1"/>
  <c r="N1148" i="1" s="1"/>
  <c r="R1148" i="1" s="1"/>
  <c r="M676" i="1"/>
  <c r="N676" i="1" s="1"/>
  <c r="R676" i="1" s="1"/>
  <c r="M356" i="1"/>
  <c r="N356" i="1" s="1"/>
  <c r="R356" i="1" s="1"/>
  <c r="M279" i="1"/>
  <c r="N279" i="1" s="1"/>
  <c r="R279" i="1" s="1"/>
  <c r="M204" i="1"/>
  <c r="N204" i="1" s="1"/>
  <c r="R204" i="1" s="1"/>
  <c r="M130" i="1"/>
  <c r="N130" i="1" s="1"/>
  <c r="R130" i="1" s="1"/>
  <c r="M56" i="1"/>
  <c r="N56" i="1" s="1"/>
  <c r="R56" i="1" s="1"/>
  <c r="M1081" i="1"/>
  <c r="N1081" i="1" s="1"/>
  <c r="R1081" i="1" s="1"/>
  <c r="M999" i="1"/>
  <c r="N999" i="1" s="1"/>
  <c r="R999" i="1" s="1"/>
  <c r="M1116" i="1"/>
  <c r="N1116" i="1" s="1"/>
  <c r="R1116" i="1" s="1"/>
  <c r="M1091" i="1"/>
  <c r="N1091" i="1" s="1"/>
  <c r="R1091" i="1" s="1"/>
  <c r="M1001" i="1"/>
  <c r="N1001" i="1" s="1"/>
  <c r="R1001" i="1" s="1"/>
  <c r="M919" i="1"/>
  <c r="N919" i="1" s="1"/>
  <c r="R919" i="1" s="1"/>
  <c r="M580" i="1"/>
  <c r="N580" i="1" s="1"/>
  <c r="R580" i="1" s="1"/>
  <c r="M1090" i="1"/>
  <c r="N1090" i="1" s="1"/>
  <c r="R1090" i="1" s="1"/>
  <c r="M1009" i="1"/>
  <c r="N1009" i="1" s="1"/>
  <c r="R1009" i="1" s="1"/>
  <c r="M478" i="1"/>
  <c r="N478" i="1" s="1"/>
  <c r="R478" i="1" s="1"/>
  <c r="M1121" i="1"/>
  <c r="N1121" i="1" s="1"/>
  <c r="R1121" i="1" s="1"/>
  <c r="M1023" i="1"/>
  <c r="N1023" i="1" s="1"/>
  <c r="R1023" i="1" s="1"/>
  <c r="M941" i="1"/>
  <c r="N941" i="1" s="1"/>
  <c r="R941" i="1" s="1"/>
  <c r="M857" i="1"/>
  <c r="N857" i="1" s="1"/>
  <c r="R857" i="1" s="1"/>
  <c r="M775" i="1"/>
  <c r="N775" i="1" s="1"/>
  <c r="R775" i="1" s="1"/>
  <c r="M626" i="1"/>
  <c r="N626" i="1" s="1"/>
  <c r="R626" i="1" s="1"/>
  <c r="M1146" i="1"/>
  <c r="N1146" i="1" s="1"/>
  <c r="R1146" i="1" s="1"/>
  <c r="M1095" i="1"/>
  <c r="N1095" i="1" s="1"/>
  <c r="M1107" i="1"/>
  <c r="N1107" i="1" s="1"/>
  <c r="R1107" i="1" s="1"/>
  <c r="M1075" i="1"/>
  <c r="N1075" i="1" s="1"/>
  <c r="R1075" i="1" s="1"/>
  <c r="M993" i="1"/>
  <c r="N993" i="1" s="1"/>
  <c r="R993" i="1" s="1"/>
  <c r="M911" i="1"/>
  <c r="N911" i="1" s="1"/>
  <c r="R911" i="1" s="1"/>
  <c r="M1173" i="1"/>
  <c r="N1173" i="1" s="1"/>
  <c r="M1082" i="1"/>
  <c r="N1082" i="1" s="1"/>
  <c r="R1082" i="1" s="1"/>
  <c r="M1000" i="1"/>
  <c r="N1000" i="1" s="1"/>
  <c r="R1000" i="1" s="1"/>
  <c r="M1104" i="1"/>
  <c r="N1104" i="1" s="1"/>
  <c r="R1104" i="1" s="1"/>
  <c r="M1015" i="1"/>
  <c r="N1015" i="1" s="1"/>
  <c r="R1015" i="1" s="1"/>
  <c r="M933" i="1"/>
  <c r="N933" i="1" s="1"/>
  <c r="R933" i="1" s="1"/>
  <c r="M849" i="1"/>
  <c r="N849" i="1" s="1"/>
  <c r="R849" i="1" s="1"/>
  <c r="M758" i="1"/>
  <c r="N758" i="1" s="1"/>
  <c r="R758" i="1" s="1"/>
  <c r="M602" i="1"/>
  <c r="N602" i="1" s="1"/>
  <c r="R602" i="1" s="1"/>
  <c r="M1145" i="1"/>
  <c r="N1145" i="1" s="1"/>
  <c r="R1145" i="1" s="1"/>
  <c r="M1094" i="1"/>
  <c r="N1094" i="1" s="1"/>
  <c r="R1094" i="1" s="1"/>
  <c r="M1038" i="1"/>
  <c r="N1038" i="1" s="1"/>
  <c r="R1038" i="1" s="1"/>
  <c r="M989" i="1"/>
  <c r="N989" i="1" s="1"/>
  <c r="R989" i="1" s="1"/>
  <c r="M947" i="1"/>
  <c r="N947" i="1" s="1"/>
  <c r="R947" i="1" s="1"/>
  <c r="M890" i="1"/>
  <c r="N890" i="1" s="1"/>
  <c r="R890" i="1" s="1"/>
  <c r="M847" i="1"/>
  <c r="N847" i="1" s="1"/>
  <c r="R847" i="1" s="1"/>
  <c r="M797" i="1"/>
  <c r="N797" i="1" s="1"/>
  <c r="M733" i="1"/>
  <c r="N733" i="1" s="1"/>
  <c r="R733" i="1" s="1"/>
  <c r="M633" i="1"/>
  <c r="N633" i="1" s="1"/>
  <c r="R633" i="1" s="1"/>
  <c r="S31" i="1" s="1"/>
  <c r="M310" i="1"/>
  <c r="N310" i="1" s="1"/>
  <c r="R310" i="1" s="1"/>
  <c r="M1143" i="1"/>
  <c r="N1143" i="1" s="1"/>
  <c r="R1143" i="1" s="1"/>
  <c r="M1052" i="1"/>
  <c r="N1052" i="1" s="1"/>
  <c r="R1052" i="1" s="1"/>
  <c r="M970" i="1"/>
  <c r="N970" i="1" s="1"/>
  <c r="R970" i="1" s="1"/>
  <c r="M887" i="1"/>
  <c r="N887" i="1" s="1"/>
  <c r="R887" i="1" s="1"/>
  <c r="M795" i="1"/>
  <c r="N795" i="1" s="1"/>
  <c r="R795" i="1" s="1"/>
  <c r="M565" i="1"/>
  <c r="N565" i="1" s="1"/>
  <c r="R565" i="1" s="1"/>
  <c r="M298" i="1"/>
  <c r="N298" i="1" s="1"/>
  <c r="R298" i="1" s="1"/>
  <c r="M819" i="1"/>
  <c r="N819" i="1" s="1"/>
  <c r="R819" i="1" s="1"/>
  <c r="M737" i="1"/>
  <c r="N737" i="1" s="1"/>
  <c r="M654" i="1"/>
  <c r="N654" i="1" s="1"/>
  <c r="R654" i="1" s="1"/>
  <c r="M563" i="1"/>
  <c r="N563" i="1" s="1"/>
  <c r="R563" i="1" s="1"/>
  <c r="S29" i="1" s="1"/>
  <c r="M472" i="1"/>
  <c r="N472" i="1" s="1"/>
  <c r="R472" i="1" s="1"/>
  <c r="M357" i="1"/>
  <c r="N357" i="1" s="1"/>
  <c r="R357" i="1" s="1"/>
  <c r="M148" i="1"/>
  <c r="N148" i="1" s="1"/>
  <c r="R148" i="1" s="1"/>
  <c r="M885" i="1"/>
  <c r="N885" i="1" s="1"/>
  <c r="R885" i="1" s="1"/>
  <c r="M801" i="1"/>
  <c r="N801" i="1" s="1"/>
  <c r="R801" i="1" s="1"/>
  <c r="M719" i="1"/>
  <c r="N719" i="1" s="1"/>
  <c r="R719" i="1" s="1"/>
  <c r="M628" i="1"/>
  <c r="N628" i="1" s="1"/>
  <c r="R628" i="1" s="1"/>
  <c r="M546" i="1"/>
  <c r="N546" i="1" s="1"/>
  <c r="R546" i="1" s="1"/>
  <c r="M454" i="1"/>
  <c r="N454" i="1" s="1"/>
  <c r="R454" i="1" s="1"/>
  <c r="M364" i="1"/>
  <c r="N364" i="1" s="1"/>
  <c r="R364" i="1" s="1"/>
  <c r="M1114" i="1"/>
  <c r="N1114" i="1" s="1"/>
  <c r="R1114" i="1" s="1"/>
  <c r="M412" i="1"/>
  <c r="N412" i="1" s="1"/>
  <c r="R412" i="1" s="1"/>
  <c r="M312" i="1"/>
  <c r="N312" i="1" s="1"/>
  <c r="R312" i="1" s="1"/>
  <c r="M220" i="1"/>
  <c r="N220" i="1" s="1"/>
  <c r="R220" i="1" s="1"/>
  <c r="M139" i="1"/>
  <c r="N139" i="1" s="1"/>
  <c r="R139" i="1" s="1"/>
  <c r="M48" i="1"/>
  <c r="N48" i="1" s="1"/>
  <c r="R48" i="1" s="1"/>
  <c r="M1057" i="1"/>
  <c r="N1057" i="1" s="1"/>
  <c r="R1057" i="1" s="1"/>
  <c r="M975" i="1"/>
  <c r="N975" i="1" s="1"/>
  <c r="R975" i="1" s="1"/>
  <c r="M901" i="1"/>
  <c r="N901" i="1" s="1"/>
  <c r="R901" i="1" s="1"/>
  <c r="M825" i="1"/>
  <c r="N825" i="1" s="1"/>
  <c r="R825" i="1" s="1"/>
  <c r="M718" i="1"/>
  <c r="N718" i="1" s="1"/>
  <c r="R718" i="1" s="1"/>
  <c r="M619" i="1"/>
  <c r="N619" i="1" s="1"/>
  <c r="R619" i="1" s="1"/>
  <c r="M545" i="1"/>
  <c r="N545" i="1" s="1"/>
  <c r="R545" i="1" s="1"/>
  <c r="M429" i="1"/>
  <c r="N429" i="1" s="1"/>
  <c r="R429" i="1" s="1"/>
  <c r="M344" i="1"/>
  <c r="N344" i="1" s="1"/>
  <c r="R344" i="1" s="1"/>
  <c r="M278" i="1"/>
  <c r="N278" i="1" s="1"/>
  <c r="R278" i="1" s="1"/>
  <c r="M211" i="1"/>
  <c r="N211" i="1" s="1"/>
  <c r="R211" i="1" s="1"/>
  <c r="M146" i="1"/>
  <c r="N146" i="1" s="1"/>
  <c r="R146" i="1" s="1"/>
  <c r="M675" i="1"/>
  <c r="N675" i="1" s="1"/>
  <c r="R675" i="1" s="1"/>
  <c r="M577" i="1"/>
  <c r="N577" i="1" s="1"/>
  <c r="R577" i="1" s="1"/>
  <c r="M510" i="1"/>
  <c r="N510" i="1" s="1"/>
  <c r="R510" i="1" s="1"/>
  <c r="M436" i="1"/>
  <c r="N436" i="1" s="1"/>
  <c r="R436" i="1" s="1"/>
  <c r="M169" i="1"/>
  <c r="N169" i="1" s="1"/>
  <c r="R169" i="1" s="1"/>
  <c r="M543" i="1"/>
  <c r="N543" i="1" s="1"/>
  <c r="R543" i="1" s="1"/>
  <c r="M468" i="1"/>
  <c r="N468" i="1" s="1"/>
  <c r="R468" i="1" s="1"/>
  <c r="M402" i="1"/>
  <c r="N402" i="1" s="1"/>
  <c r="R402" i="1" s="1"/>
  <c r="M317" i="1"/>
  <c r="N317" i="1" s="1"/>
  <c r="R317" i="1" s="1"/>
  <c r="M160" i="1"/>
  <c r="N160" i="1" s="1"/>
  <c r="R160" i="1" s="1"/>
  <c r="M764" i="1"/>
  <c r="N764" i="1" s="1"/>
  <c r="R764" i="1" s="1"/>
  <c r="M673" i="1"/>
  <c r="N673" i="1" s="1"/>
  <c r="R673" i="1" s="1"/>
  <c r="M583" i="1"/>
  <c r="N583" i="1" s="1"/>
  <c r="R583" i="1" s="1"/>
  <c r="M434" i="1"/>
  <c r="N434" i="1" s="1"/>
  <c r="R434" i="1" s="1"/>
  <c r="M333" i="1"/>
  <c r="N333" i="1" s="1"/>
  <c r="R333" i="1" s="1"/>
  <c r="M118" i="1"/>
  <c r="N118" i="1" s="1"/>
  <c r="R118" i="1" s="1"/>
  <c r="M1176" i="1"/>
  <c r="N1176" i="1" s="1"/>
  <c r="R1176" i="1" s="1"/>
  <c r="M1109" i="1"/>
  <c r="N1109" i="1" s="1"/>
  <c r="R1109" i="1" s="1"/>
  <c r="M1044" i="1"/>
  <c r="N1044" i="1" s="1"/>
  <c r="R1044" i="1" s="1"/>
  <c r="M979" i="1"/>
  <c r="N979" i="1" s="1"/>
  <c r="R979" i="1" s="1"/>
  <c r="M913" i="1"/>
  <c r="N913" i="1" s="1"/>
  <c r="R913" i="1" s="1"/>
  <c r="M846" i="1"/>
  <c r="N846" i="1" s="1"/>
  <c r="R846" i="1" s="1"/>
  <c r="M771" i="1"/>
  <c r="N771" i="1" s="1"/>
  <c r="R771" i="1" s="1"/>
  <c r="M656" i="1"/>
  <c r="N656" i="1" s="1"/>
  <c r="R656" i="1" s="1"/>
  <c r="M557" i="1"/>
  <c r="N557" i="1" s="1"/>
  <c r="R557" i="1" s="1"/>
  <c r="M433" i="1"/>
  <c r="N433" i="1" s="1"/>
  <c r="R433" i="1" s="1"/>
  <c r="M291" i="1"/>
  <c r="N291" i="1" s="1"/>
  <c r="R291" i="1" s="1"/>
  <c r="M779" i="1"/>
  <c r="N779" i="1" s="1"/>
  <c r="M687" i="1"/>
  <c r="N687" i="1" s="1"/>
  <c r="R687" i="1" s="1"/>
  <c r="M581" i="1"/>
  <c r="N581" i="1" s="1"/>
  <c r="R581" i="1" s="1"/>
  <c r="M506" i="1"/>
  <c r="N506" i="1" s="1"/>
  <c r="R506" i="1" s="1"/>
  <c r="M440" i="1"/>
  <c r="N440" i="1" s="1"/>
  <c r="R440" i="1" s="1"/>
  <c r="M358" i="1"/>
  <c r="N358" i="1" s="1"/>
  <c r="R358" i="1" s="1"/>
  <c r="M264" i="1"/>
  <c r="N264" i="1" s="1"/>
  <c r="R264" i="1" s="1"/>
  <c r="M190" i="1"/>
  <c r="N190" i="1" s="1"/>
  <c r="R190" i="1" s="1"/>
  <c r="M124" i="1"/>
  <c r="N124" i="1" s="1"/>
  <c r="R124" i="1" s="1"/>
  <c r="M58" i="1"/>
  <c r="N58" i="1" s="1"/>
  <c r="R58" i="1" s="1"/>
  <c r="M640" i="1"/>
  <c r="N640" i="1" s="1"/>
  <c r="R640" i="1" s="1"/>
  <c r="M321" i="1"/>
  <c r="N321" i="1" s="1"/>
  <c r="R321" i="1" s="1"/>
  <c r="S17" i="1" s="1"/>
  <c r="M197" i="1"/>
  <c r="N197" i="1" s="1"/>
  <c r="R197" i="1" s="1"/>
  <c r="M90" i="1"/>
  <c r="N90" i="1" s="1"/>
  <c r="R90" i="1" s="1"/>
  <c r="M16" i="1"/>
  <c r="N16" i="1" s="1"/>
  <c r="M64" i="1"/>
  <c r="N64" i="1" s="1"/>
  <c r="R64" i="1" s="1"/>
  <c r="M370" i="1"/>
  <c r="N370" i="1" s="1"/>
  <c r="R370" i="1" s="1"/>
  <c r="M243" i="1"/>
  <c r="N243" i="1" s="1"/>
  <c r="R243" i="1" s="1"/>
  <c r="M145" i="1"/>
  <c r="N145" i="1" s="1"/>
  <c r="R145" i="1" s="1"/>
  <c r="M79" i="1"/>
  <c r="N79" i="1" s="1"/>
  <c r="R79" i="1" s="1"/>
  <c r="M285" i="1"/>
  <c r="N285" i="1" s="1"/>
  <c r="R285" i="1" s="1"/>
  <c r="M176" i="1"/>
  <c r="N176" i="1" s="1"/>
  <c r="R176" i="1" s="1"/>
  <c r="M86" i="1"/>
  <c r="N86" i="1" s="1"/>
  <c r="M20" i="1"/>
  <c r="N20" i="1" s="1"/>
  <c r="R20" i="1" s="1"/>
  <c r="M550" i="1"/>
  <c r="N550" i="1" s="1"/>
  <c r="M325" i="1"/>
  <c r="N325" i="1" s="1"/>
  <c r="R325" i="1" s="1"/>
  <c r="M200" i="1"/>
  <c r="N200" i="1" s="1"/>
  <c r="R200" i="1" s="1"/>
  <c r="M110" i="1"/>
  <c r="N110" i="1" s="1"/>
  <c r="R110" i="1" s="1"/>
  <c r="M19" i="1"/>
  <c r="N19" i="1" s="1"/>
  <c r="R19" i="1" s="1"/>
  <c r="M516" i="1"/>
  <c r="N516" i="1" s="1"/>
  <c r="R516" i="1" s="1"/>
  <c r="M274" i="1"/>
  <c r="N274" i="1" s="1"/>
  <c r="R274" i="1" s="1"/>
  <c r="M182" i="1"/>
  <c r="N182" i="1" s="1"/>
  <c r="R182" i="1" s="1"/>
  <c r="M117" i="1"/>
  <c r="N117" i="1" s="1"/>
  <c r="R117" i="1" s="1"/>
  <c r="M35" i="1"/>
  <c r="N35" i="1" s="1"/>
  <c r="R35" i="1" s="1"/>
  <c r="M1134" i="1"/>
  <c r="N1134" i="1" s="1"/>
  <c r="M1059" i="1"/>
  <c r="N1059" i="1" s="1"/>
  <c r="R1059" i="1" s="1"/>
  <c r="M961" i="1"/>
  <c r="N961" i="1" s="1"/>
  <c r="R961" i="1" s="1"/>
  <c r="M630" i="1"/>
  <c r="N630" i="1" s="1"/>
  <c r="R630" i="1" s="1"/>
  <c r="M1058" i="1"/>
  <c r="N1058" i="1" s="1"/>
  <c r="R1058" i="1" s="1"/>
  <c r="M951" i="1"/>
  <c r="N951" i="1" s="1"/>
  <c r="R951" i="1" s="1"/>
  <c r="M1007" i="1"/>
  <c r="N1007" i="1" s="1"/>
  <c r="R1007" i="1" s="1"/>
  <c r="M908" i="1"/>
  <c r="N908" i="1" s="1"/>
  <c r="R908" i="1" s="1"/>
  <c r="M791" i="1"/>
  <c r="N791" i="1" s="1"/>
  <c r="R791" i="1" s="1"/>
  <c r="M452" i="1"/>
  <c r="N452" i="1" s="1"/>
  <c r="R452" i="1" s="1"/>
  <c r="M1119" i="1"/>
  <c r="N1119" i="1" s="1"/>
  <c r="R1119" i="1" s="1"/>
  <c r="M1062" i="1"/>
  <c r="N1062" i="1" s="1"/>
  <c r="R1062" i="1" s="1"/>
  <c r="M1006" i="1"/>
  <c r="N1006" i="1" s="1"/>
  <c r="R1006" i="1" s="1"/>
  <c r="M948" i="1"/>
  <c r="N948" i="1" s="1"/>
  <c r="R948" i="1" s="1"/>
  <c r="M889" i="1"/>
  <c r="N889" i="1" s="1"/>
  <c r="M831" i="1"/>
  <c r="N831" i="1" s="1"/>
  <c r="R831" i="1" s="1"/>
  <c r="M765" i="1"/>
  <c r="N765" i="1" s="1"/>
  <c r="R765" i="1" s="1"/>
  <c r="M682" i="1"/>
  <c r="N682" i="1" s="1"/>
  <c r="R682" i="1" s="1"/>
  <c r="M526" i="1"/>
  <c r="N526" i="1" s="1"/>
  <c r="R526" i="1" s="1"/>
  <c r="M1159" i="1"/>
  <c r="N1159" i="1" s="1"/>
  <c r="R1159" i="1" s="1"/>
  <c r="M1060" i="1"/>
  <c r="N1060" i="1" s="1"/>
  <c r="M962" i="1"/>
  <c r="N962" i="1" s="1"/>
  <c r="R962" i="1" s="1"/>
  <c r="M853" i="1"/>
  <c r="N853" i="1" s="1"/>
  <c r="R853" i="1" s="1"/>
  <c r="M738" i="1"/>
  <c r="N738" i="1" s="1"/>
  <c r="R738" i="1" s="1"/>
  <c r="M415" i="1"/>
  <c r="N415" i="1" s="1"/>
  <c r="R415" i="1" s="1"/>
  <c r="M872" i="1"/>
  <c r="N872" i="1" s="1"/>
  <c r="R872" i="1" s="1"/>
  <c r="M753" i="1"/>
  <c r="N753" i="1" s="1"/>
  <c r="R753" i="1" s="1"/>
  <c r="M662" i="1"/>
  <c r="N662" i="1" s="1"/>
  <c r="R662" i="1" s="1"/>
  <c r="M547" i="1"/>
  <c r="N547" i="1" s="1"/>
  <c r="R547" i="1" s="1"/>
  <c r="M447" i="1"/>
  <c r="N447" i="1" s="1"/>
  <c r="R447" i="1" s="1"/>
  <c r="M272" i="1"/>
  <c r="N272" i="1" s="1"/>
  <c r="R272" i="1" s="1"/>
  <c r="S15" i="1" s="1"/>
  <c r="M1051" i="1"/>
  <c r="N1051" i="1" s="1"/>
  <c r="R1051" i="1" s="1"/>
  <c r="M936" i="1"/>
  <c r="N936" i="1" s="1"/>
  <c r="R936" i="1" s="1"/>
  <c r="M1157" i="1"/>
  <c r="N1157" i="1" s="1"/>
  <c r="R1157" i="1" s="1"/>
  <c r="M1050" i="1"/>
  <c r="N1050" i="1" s="1"/>
  <c r="R1050" i="1" s="1"/>
  <c r="M943" i="1"/>
  <c r="N943" i="1" s="1"/>
  <c r="R943" i="1" s="1"/>
  <c r="M998" i="1"/>
  <c r="N998" i="1" s="1"/>
  <c r="R998" i="1" s="1"/>
  <c r="M891" i="1"/>
  <c r="N891" i="1" s="1"/>
  <c r="R891" i="1" s="1"/>
  <c r="S44" i="1" s="1"/>
  <c r="M783" i="1"/>
  <c r="N783" i="1" s="1"/>
  <c r="R783" i="1" s="1"/>
  <c r="M1111" i="1"/>
  <c r="N1111" i="1" s="1"/>
  <c r="R1111" i="1" s="1"/>
  <c r="M1055" i="1"/>
  <c r="N1055" i="1" s="1"/>
  <c r="R1055" i="1" s="1"/>
  <c r="M996" i="1"/>
  <c r="N996" i="1" s="1"/>
  <c r="M940" i="1"/>
  <c r="N940" i="1" s="1"/>
  <c r="R940" i="1" s="1"/>
  <c r="M882" i="1"/>
  <c r="N882" i="1" s="1"/>
  <c r="R882" i="1" s="1"/>
  <c r="M823" i="1"/>
  <c r="N823" i="1" s="1"/>
  <c r="R823" i="1" s="1"/>
  <c r="M757" i="1"/>
  <c r="N757" i="1" s="1"/>
  <c r="R757" i="1" s="1"/>
  <c r="M674" i="1"/>
  <c r="N674" i="1" s="1"/>
  <c r="R674" i="1" s="1"/>
  <c r="M517" i="1"/>
  <c r="N517" i="1" s="1"/>
  <c r="R517" i="1" s="1"/>
  <c r="M1151" i="1"/>
  <c r="N1151" i="1" s="1"/>
  <c r="R1151" i="1" s="1"/>
  <c r="M1043" i="1"/>
  <c r="N1043" i="1" s="1"/>
  <c r="R1043" i="1" s="1"/>
  <c r="M953" i="1"/>
  <c r="N953" i="1" s="1"/>
  <c r="R953" i="1" s="1"/>
  <c r="M845" i="1"/>
  <c r="N845" i="1" s="1"/>
  <c r="R845" i="1" s="1"/>
  <c r="M713" i="1"/>
  <c r="N713" i="1" s="1"/>
  <c r="M400" i="1"/>
  <c r="N400" i="1" s="1"/>
  <c r="R400" i="1" s="1"/>
  <c r="M844" i="1"/>
  <c r="N844" i="1" s="1"/>
  <c r="R844" i="1" s="1"/>
  <c r="M745" i="1"/>
  <c r="N745" i="1" s="1"/>
  <c r="R745" i="1" s="1"/>
  <c r="M646" i="1"/>
  <c r="N646" i="1" s="1"/>
  <c r="R646" i="1" s="1"/>
  <c r="M531" i="1"/>
  <c r="N531" i="1" s="1"/>
  <c r="R531" i="1" s="1"/>
  <c r="M439" i="1"/>
  <c r="N439" i="1" s="1"/>
  <c r="R439" i="1" s="1"/>
  <c r="M263" i="1"/>
  <c r="N263" i="1" s="1"/>
  <c r="R263" i="1" s="1"/>
  <c r="S13" i="1" s="1"/>
  <c r="M926" i="1"/>
  <c r="N926" i="1" s="1"/>
  <c r="M818" i="1"/>
  <c r="N818" i="1" s="1"/>
  <c r="R818" i="1" s="1"/>
  <c r="M727" i="1"/>
  <c r="N727" i="1" s="1"/>
  <c r="M620" i="1"/>
  <c r="N620" i="1" s="1"/>
  <c r="R620" i="1" s="1"/>
  <c r="M521" i="1"/>
  <c r="N521" i="1" s="1"/>
  <c r="R521" i="1" s="1"/>
  <c r="M422" i="1"/>
  <c r="N422" i="1" s="1"/>
  <c r="R422" i="1" s="1"/>
  <c r="M1164" i="1"/>
  <c r="N1164" i="1" s="1"/>
  <c r="R1164" i="1" s="1"/>
  <c r="M503" i="1"/>
  <c r="N503" i="1" s="1"/>
  <c r="R503" i="1" s="1"/>
  <c r="M329" i="1"/>
  <c r="N329" i="1" s="1"/>
  <c r="R329" i="1" s="1"/>
  <c r="M228" i="1"/>
  <c r="N228" i="1" s="1"/>
  <c r="R228" i="1" s="1"/>
  <c r="M122" i="1"/>
  <c r="N122" i="1" s="1"/>
  <c r="R122" i="1" s="1"/>
  <c r="M23" i="1"/>
  <c r="N23" i="1" s="1"/>
  <c r="R23" i="1" s="1"/>
  <c r="M1032" i="1"/>
  <c r="N1032" i="1" s="1"/>
  <c r="M934" i="1"/>
  <c r="N934" i="1" s="1"/>
  <c r="R934" i="1" s="1"/>
  <c r="M850" i="1"/>
  <c r="N850" i="1" s="1"/>
  <c r="R850" i="1" s="1"/>
  <c r="M751" i="1"/>
  <c r="N751" i="1" s="1"/>
  <c r="R751" i="1" s="1"/>
  <c r="M636" i="1"/>
  <c r="N636" i="1" s="1"/>
  <c r="R636" i="1" s="1"/>
  <c r="M537" i="1"/>
  <c r="N537" i="1" s="1"/>
  <c r="R537" i="1" s="1"/>
  <c r="M404" i="1"/>
  <c r="N404" i="1" s="1"/>
  <c r="R404" i="1" s="1"/>
  <c r="M319" i="1"/>
  <c r="N319" i="1" s="1"/>
  <c r="R319" i="1" s="1"/>
  <c r="M244" i="1"/>
  <c r="N244" i="1" s="1"/>
  <c r="R244" i="1" s="1"/>
  <c r="M170" i="1"/>
  <c r="N170" i="1" s="1"/>
  <c r="R170" i="1" s="1"/>
  <c r="M700" i="1"/>
  <c r="N700" i="1" s="1"/>
  <c r="R700" i="1" s="1"/>
  <c r="M585" i="1"/>
  <c r="N585" i="1" s="1"/>
  <c r="R585" i="1" s="1"/>
  <c r="M502" i="1"/>
  <c r="N502" i="1" s="1"/>
  <c r="R502" i="1" s="1"/>
  <c r="M395" i="1"/>
  <c r="N395" i="1" s="1"/>
  <c r="R395" i="1" s="1"/>
  <c r="M609" i="1"/>
  <c r="N609" i="1" s="1"/>
  <c r="M501" i="1"/>
  <c r="N501" i="1" s="1"/>
  <c r="R501" i="1" s="1"/>
  <c r="M427" i="1"/>
  <c r="N427" i="1" s="1"/>
  <c r="R427" i="1" s="1"/>
  <c r="M334" i="1"/>
  <c r="N334" i="1" s="1"/>
  <c r="R334" i="1" s="1"/>
  <c r="M193" i="1"/>
  <c r="N193" i="1" s="1"/>
  <c r="R193" i="1" s="1"/>
  <c r="M740" i="1"/>
  <c r="N740" i="1" s="1"/>
  <c r="R740" i="1" s="1"/>
  <c r="M649" i="1"/>
  <c r="N649" i="1" s="1"/>
  <c r="M534" i="1"/>
  <c r="N534" i="1" s="1"/>
  <c r="R534" i="1" s="1"/>
  <c r="M385" i="1"/>
  <c r="N385" i="1" s="1"/>
  <c r="R385" i="1" s="1"/>
  <c r="M208" i="1"/>
  <c r="N208" i="1" s="1"/>
  <c r="R208" i="1" s="1"/>
  <c r="M450" i="1"/>
  <c r="N450" i="1" s="1"/>
  <c r="M1118" i="1"/>
  <c r="N1118" i="1" s="1"/>
  <c r="R1118" i="1" s="1"/>
  <c r="M1036" i="1"/>
  <c r="N1036" i="1" s="1"/>
  <c r="R1036" i="1" s="1"/>
  <c r="M963" i="1"/>
  <c r="N963" i="1" s="1"/>
  <c r="R963" i="1" s="1"/>
  <c r="M888" i="1"/>
  <c r="N888" i="1" s="1"/>
  <c r="R888" i="1" s="1"/>
  <c r="M812" i="1"/>
  <c r="N812" i="1" s="1"/>
  <c r="R812" i="1" s="1"/>
  <c r="M722" i="1"/>
  <c r="N722" i="1" s="1"/>
  <c r="R722" i="1" s="1"/>
  <c r="M574" i="1"/>
  <c r="N574" i="1" s="1"/>
  <c r="R574" i="1" s="1"/>
  <c r="M458" i="1"/>
  <c r="N458" i="1" s="1"/>
  <c r="R458" i="1" s="1"/>
  <c r="M282" i="1"/>
  <c r="N282" i="1" s="1"/>
  <c r="R282" i="1" s="1"/>
  <c r="M754" i="1"/>
  <c r="N754" i="1" s="1"/>
  <c r="R754" i="1" s="1"/>
  <c r="M647" i="1"/>
  <c r="N647" i="1" s="1"/>
  <c r="R647" i="1" s="1"/>
  <c r="M540" i="1"/>
  <c r="N540" i="1" s="1"/>
  <c r="M465" i="1"/>
  <c r="N465" i="1" s="1"/>
  <c r="R465" i="1" s="1"/>
  <c r="M374" i="1"/>
  <c r="N374" i="1" s="1"/>
  <c r="R374" i="1" s="1"/>
  <c r="M290" i="1"/>
  <c r="N290" i="1" s="1"/>
  <c r="R290" i="1" s="1"/>
  <c r="M1034" i="1"/>
  <c r="N1034" i="1" s="1"/>
  <c r="R1034" i="1" s="1"/>
  <c r="M903" i="1"/>
  <c r="N903" i="1" s="1"/>
  <c r="M1132" i="1"/>
  <c r="N1132" i="1" s="1"/>
  <c r="R1132" i="1" s="1"/>
  <c r="M1025" i="1"/>
  <c r="N1025" i="1" s="1"/>
  <c r="R1025" i="1" s="1"/>
  <c r="M1080" i="1"/>
  <c r="N1080" i="1" s="1"/>
  <c r="R1080" i="1" s="1"/>
  <c r="M982" i="1"/>
  <c r="N982" i="1" s="1"/>
  <c r="R982" i="1" s="1"/>
  <c r="M866" i="1"/>
  <c r="N866" i="1" s="1"/>
  <c r="R866" i="1" s="1"/>
  <c r="M742" i="1"/>
  <c r="N742" i="1" s="1"/>
  <c r="R742" i="1" s="1"/>
  <c r="M1162" i="1"/>
  <c r="N1162" i="1" s="1"/>
  <c r="R1162" i="1" s="1"/>
  <c r="M1103" i="1"/>
  <c r="N1103" i="1" s="1"/>
  <c r="R1103" i="1" s="1"/>
  <c r="M1030" i="1"/>
  <c r="N1030" i="1" s="1"/>
  <c r="R1030" i="1" s="1"/>
  <c r="M981" i="1"/>
  <c r="N981" i="1" s="1"/>
  <c r="R981" i="1" s="1"/>
  <c r="M923" i="1"/>
  <c r="N923" i="1" s="1"/>
  <c r="R923" i="1" s="1"/>
  <c r="M864" i="1"/>
  <c r="N864" i="1" s="1"/>
  <c r="R864" i="1" s="1"/>
  <c r="S40" i="1" s="1"/>
  <c r="M813" i="1"/>
  <c r="N813" i="1" s="1"/>
  <c r="R813" i="1" s="1"/>
  <c r="S38" i="1" s="1"/>
  <c r="M749" i="1"/>
  <c r="N749" i="1" s="1"/>
  <c r="R749" i="1" s="1"/>
  <c r="M650" i="1"/>
  <c r="N650" i="1" s="1"/>
  <c r="R650" i="1" s="1"/>
  <c r="M300" i="1"/>
  <c r="N300" i="1" s="1"/>
  <c r="R300" i="1" s="1"/>
  <c r="M1117" i="1"/>
  <c r="N1117" i="1" s="1"/>
  <c r="R1117" i="1" s="1"/>
  <c r="M1027" i="1"/>
  <c r="N1027" i="1" s="1"/>
  <c r="R1027" i="1" s="1"/>
  <c r="M920" i="1"/>
  <c r="N920" i="1" s="1"/>
  <c r="R920" i="1" s="1"/>
  <c r="M828" i="1"/>
  <c r="N828" i="1" s="1"/>
  <c r="R828" i="1" s="1"/>
  <c r="M655" i="1"/>
  <c r="N655" i="1" s="1"/>
  <c r="R655" i="1" s="1"/>
  <c r="M359" i="1"/>
  <c r="N359" i="1" s="1"/>
  <c r="R359" i="1" s="1"/>
  <c r="M810" i="1"/>
  <c r="N810" i="1" s="1"/>
  <c r="R810" i="1" s="1"/>
  <c r="M720" i="1"/>
  <c r="N720" i="1" s="1"/>
  <c r="R720" i="1" s="1"/>
  <c r="S35" i="1" s="1"/>
  <c r="M613" i="1"/>
  <c r="N613" i="1" s="1"/>
  <c r="R613" i="1" s="1"/>
  <c r="M514" i="1"/>
  <c r="N514" i="1" s="1"/>
  <c r="R514" i="1" s="1"/>
  <c r="M406" i="1"/>
  <c r="N406" i="1" s="1"/>
  <c r="R406" i="1" s="1"/>
  <c r="M229" i="1"/>
  <c r="N229" i="1" s="1"/>
  <c r="R229" i="1" s="1"/>
  <c r="M894" i="1"/>
  <c r="N894" i="1" s="1"/>
  <c r="R894" i="1" s="1"/>
  <c r="M793" i="1"/>
  <c r="N793" i="1" s="1"/>
  <c r="R793" i="1" s="1"/>
  <c r="M694" i="1"/>
  <c r="N694" i="1" s="1"/>
  <c r="R694" i="1" s="1"/>
  <c r="M596" i="1"/>
  <c r="N596" i="1" s="1"/>
  <c r="R596" i="1" s="1"/>
  <c r="M496" i="1"/>
  <c r="N496" i="1" s="1"/>
  <c r="R496" i="1" s="1"/>
  <c r="M405" i="1"/>
  <c r="N405" i="1" s="1"/>
  <c r="R405" i="1" s="1"/>
  <c r="M1131" i="1"/>
  <c r="N1131" i="1" s="1"/>
  <c r="R1131" i="1" s="1"/>
  <c r="M437" i="1"/>
  <c r="N437" i="1" s="1"/>
  <c r="R437" i="1" s="1"/>
  <c r="M296" i="1"/>
  <c r="N296" i="1" s="1"/>
  <c r="R296" i="1" s="1"/>
  <c r="M196" i="1"/>
  <c r="N196" i="1" s="1"/>
  <c r="R196" i="1" s="1"/>
  <c r="M98" i="1"/>
  <c r="N98" i="1" s="1"/>
  <c r="R98" i="1" s="1"/>
  <c r="M6" i="1"/>
  <c r="N6" i="1" s="1"/>
  <c r="R6" i="1" s="1"/>
  <c r="M1016" i="1"/>
  <c r="N1016" i="1" s="1"/>
  <c r="R1016" i="1" s="1"/>
  <c r="M917" i="1"/>
  <c r="N917" i="1" s="1"/>
  <c r="R917" i="1" s="1"/>
  <c r="M833" i="1"/>
  <c r="N833" i="1" s="1"/>
  <c r="M693" i="1"/>
  <c r="N693" i="1" s="1"/>
  <c r="R693" i="1" s="1"/>
  <c r="M603" i="1"/>
  <c r="N603" i="1" s="1"/>
  <c r="R603" i="1" s="1"/>
  <c r="M511" i="1"/>
  <c r="N511" i="1" s="1"/>
  <c r="R511" i="1" s="1"/>
  <c r="M388" i="1"/>
  <c r="N388" i="1" s="1"/>
  <c r="R388" i="1" s="1"/>
  <c r="M303" i="1"/>
  <c r="N303" i="1" s="1"/>
  <c r="R303" i="1" s="1"/>
  <c r="M227" i="1"/>
  <c r="N227" i="1" s="1"/>
  <c r="R227" i="1" s="1"/>
  <c r="M154" i="1"/>
  <c r="N154" i="1" s="1"/>
  <c r="R154" i="1" s="1"/>
  <c r="M659" i="1"/>
  <c r="N659" i="1" s="1"/>
  <c r="R659" i="1" s="1"/>
  <c r="M560" i="1"/>
  <c r="N560" i="1" s="1"/>
  <c r="R560" i="1" s="1"/>
  <c r="M485" i="1"/>
  <c r="N485" i="1" s="1"/>
  <c r="R485" i="1" s="1"/>
  <c r="M353" i="1"/>
  <c r="N353" i="1" s="1"/>
  <c r="R353" i="1" s="1"/>
  <c r="S20" i="1" s="1"/>
  <c r="M584" i="1"/>
  <c r="N584" i="1" s="1"/>
  <c r="M484" i="1"/>
  <c r="N484" i="1" s="1"/>
  <c r="R484" i="1" s="1"/>
  <c r="M410" i="1"/>
  <c r="N410" i="1" s="1"/>
  <c r="R410" i="1" s="1"/>
  <c r="M309" i="1"/>
  <c r="N309" i="1" s="1"/>
  <c r="R309" i="1" s="1"/>
  <c r="M95" i="1"/>
  <c r="N95" i="1" s="1"/>
  <c r="R95" i="1" s="1"/>
  <c r="M723" i="1"/>
  <c r="N723" i="1" s="1"/>
  <c r="R723" i="1" s="1"/>
  <c r="M632" i="1"/>
  <c r="N632" i="1" s="1"/>
  <c r="R632" i="1" s="1"/>
  <c r="M491" i="1"/>
  <c r="N491" i="1" s="1"/>
  <c r="R491" i="1" s="1"/>
  <c r="M368" i="1"/>
  <c r="N368" i="1" s="1"/>
  <c r="R368" i="1" s="1"/>
  <c r="M135" i="1"/>
  <c r="N135" i="1" s="1"/>
  <c r="R135" i="1" s="1"/>
  <c r="M1168" i="1"/>
  <c r="N1168" i="1" s="1"/>
  <c r="R1168" i="1" s="1"/>
  <c r="M1093" i="1"/>
  <c r="N1093" i="1" s="1"/>
  <c r="R1093" i="1" s="1"/>
  <c r="M1020" i="1"/>
  <c r="N1020" i="1" s="1"/>
  <c r="R1020" i="1" s="1"/>
  <c r="M946" i="1"/>
  <c r="N946" i="1" s="1"/>
  <c r="R946" i="1" s="1"/>
  <c r="M871" i="1"/>
  <c r="N871" i="1" s="1"/>
  <c r="R871" i="1" s="1"/>
  <c r="S41" i="1" s="1"/>
  <c r="M796" i="1"/>
  <c r="N796" i="1" s="1"/>
  <c r="R796" i="1" s="1"/>
  <c r="M680" i="1"/>
  <c r="N680" i="1" s="1"/>
  <c r="R680" i="1" s="1"/>
  <c r="M549" i="1"/>
  <c r="N549" i="1" s="1"/>
  <c r="R549" i="1" s="1"/>
  <c r="M392" i="1"/>
  <c r="N392" i="1" s="1"/>
  <c r="R392" i="1" s="1"/>
  <c r="M199" i="1"/>
  <c r="N199" i="1" s="1"/>
  <c r="R199" i="1" s="1"/>
  <c r="M721" i="1"/>
  <c r="N721" i="1" s="1"/>
  <c r="R721" i="1" s="1"/>
  <c r="M622" i="1"/>
  <c r="N622" i="1" s="1"/>
  <c r="R622" i="1" s="1"/>
  <c r="M523" i="1"/>
  <c r="N523" i="1" s="1"/>
  <c r="R523" i="1" s="1"/>
  <c r="M448" i="1"/>
  <c r="N448" i="1" s="1"/>
  <c r="R448" i="1" s="1"/>
  <c r="M347" i="1"/>
  <c r="N347" i="1" s="1"/>
  <c r="M247" i="1"/>
  <c r="N247" i="1" s="1"/>
  <c r="R247" i="1" s="1"/>
  <c r="M165" i="1"/>
  <c r="N165" i="1" s="1"/>
  <c r="R165" i="1" s="1"/>
  <c r="M91" i="1"/>
  <c r="N91" i="1" s="1"/>
  <c r="R91" i="1" s="1"/>
  <c r="M17" i="1"/>
  <c r="N17" i="1" s="1"/>
  <c r="R17" i="1" s="1"/>
  <c r="M365" i="1"/>
  <c r="N365" i="1" s="1"/>
  <c r="R365" i="1" s="1"/>
  <c r="M189" i="1"/>
  <c r="N189" i="1" s="1"/>
  <c r="R189" i="1" s="1"/>
  <c r="M74" i="1"/>
  <c r="N74" i="1" s="1"/>
  <c r="R74" i="1" s="1"/>
  <c r="M121" i="1"/>
  <c r="N121" i="1" s="1"/>
  <c r="R121" i="1" s="1"/>
  <c r="M31" i="1"/>
  <c r="N31" i="1" s="1"/>
  <c r="R31" i="1" s="1"/>
  <c r="M286" i="1"/>
  <c r="N286" i="1" s="1"/>
  <c r="R286" i="1" s="1"/>
  <c r="M177" i="1"/>
  <c r="N177" i="1" s="1"/>
  <c r="R177" i="1" s="1"/>
  <c r="M87" i="1"/>
  <c r="N87" i="1" s="1"/>
  <c r="R87" i="1" s="1"/>
  <c r="M276" i="1"/>
  <c r="N276" i="1" s="1"/>
  <c r="R276" i="1" s="1"/>
  <c r="M152" i="1"/>
  <c r="N152" i="1" s="1"/>
  <c r="R152" i="1" s="1"/>
  <c r="M61" i="1"/>
  <c r="N61" i="1" s="1"/>
  <c r="R61" i="1" s="1"/>
  <c r="M681" i="1"/>
  <c r="N681" i="1" s="1"/>
  <c r="R681" i="1" s="1"/>
  <c r="M393" i="1"/>
  <c r="N393" i="1" s="1"/>
  <c r="R393" i="1" s="1"/>
  <c r="M232" i="1"/>
  <c r="N232" i="1" s="1"/>
  <c r="R232" i="1" s="1"/>
  <c r="M126" i="1"/>
  <c r="N126" i="1" s="1"/>
  <c r="R126" i="1" s="1"/>
  <c r="M10" i="1"/>
  <c r="N10" i="1" s="1"/>
  <c r="R10" i="1" s="1"/>
  <c r="M449" i="1"/>
  <c r="N449" i="1" s="1"/>
  <c r="R449" i="1" s="1"/>
  <c r="M231" i="1"/>
  <c r="N231" i="1" s="1"/>
  <c r="R231" i="1" s="1"/>
  <c r="M1010" i="1"/>
  <c r="N1010" i="1" s="1"/>
  <c r="R1010" i="1" s="1"/>
  <c r="M679" i="1"/>
  <c r="N679" i="1" s="1"/>
  <c r="R679" i="1" s="1"/>
  <c r="M984" i="1"/>
  <c r="N984" i="1" s="1"/>
  <c r="R984" i="1" s="1"/>
  <c r="M990" i="1"/>
  <c r="N990" i="1" s="1"/>
  <c r="R990" i="1" s="1"/>
  <c r="M816" i="1"/>
  <c r="N816" i="1" s="1"/>
  <c r="R816" i="1" s="1"/>
  <c r="M1170" i="1"/>
  <c r="N1170" i="1" s="1"/>
  <c r="R1170" i="1" s="1"/>
  <c r="M1071" i="1"/>
  <c r="N1071" i="1" s="1"/>
  <c r="R1071" i="1" s="1"/>
  <c r="M980" i="1"/>
  <c r="N980" i="1" s="1"/>
  <c r="R980" i="1" s="1"/>
  <c r="M899" i="1"/>
  <c r="N899" i="1" s="1"/>
  <c r="R899" i="1" s="1"/>
  <c r="M798" i="1"/>
  <c r="N798" i="1" s="1"/>
  <c r="R798" i="1" s="1"/>
  <c r="M666" i="1"/>
  <c r="N666" i="1" s="1"/>
  <c r="R666" i="1" s="1"/>
  <c r="M906" i="1"/>
  <c r="N906" i="1" s="1"/>
  <c r="R906" i="1" s="1"/>
  <c r="M1011" i="1"/>
  <c r="N1011" i="1" s="1"/>
  <c r="R1011" i="1" s="1"/>
  <c r="M879" i="1"/>
  <c r="N879" i="1" s="1"/>
  <c r="M490" i="1"/>
  <c r="N490" i="1" s="1"/>
  <c r="R490" i="1" s="1"/>
  <c r="M835" i="1"/>
  <c r="N835" i="1" s="1"/>
  <c r="R835" i="1" s="1"/>
  <c r="M678" i="1"/>
  <c r="N678" i="1" s="1"/>
  <c r="R678" i="1" s="1"/>
  <c r="M505" i="1"/>
  <c r="N505" i="1" s="1"/>
  <c r="R505" i="1" s="1"/>
  <c r="M305" i="1"/>
  <c r="N305" i="1" s="1"/>
  <c r="R305" i="1" s="1"/>
  <c r="M877" i="1"/>
  <c r="N877" i="1" s="1"/>
  <c r="R877" i="1" s="1"/>
  <c r="M752" i="1"/>
  <c r="N752" i="1" s="1"/>
  <c r="R752" i="1" s="1"/>
  <c r="M645" i="1"/>
  <c r="N645" i="1" s="1"/>
  <c r="R645" i="1" s="1"/>
  <c r="M487" i="1"/>
  <c r="N487" i="1" s="1"/>
  <c r="R487" i="1" s="1"/>
  <c r="M1070" i="1"/>
  <c r="N1070" i="1" s="1"/>
  <c r="R1070" i="1" s="1"/>
  <c r="M735" i="1"/>
  <c r="N735" i="1" s="1"/>
  <c r="R735" i="1" s="1"/>
  <c r="M288" i="1"/>
  <c r="N288" i="1" s="1"/>
  <c r="R288" i="1" s="1"/>
  <c r="M163" i="1"/>
  <c r="N163" i="1" s="1"/>
  <c r="R163" i="1" s="1"/>
  <c r="M32" i="1"/>
  <c r="N32" i="1" s="1"/>
  <c r="R32" i="1" s="1"/>
  <c r="M991" i="1"/>
  <c r="N991" i="1" s="1"/>
  <c r="R991" i="1" s="1"/>
  <c r="M884" i="1"/>
  <c r="N884" i="1" s="1"/>
  <c r="M776" i="1"/>
  <c r="N776" i="1" s="1"/>
  <c r="R776" i="1" s="1"/>
  <c r="M595" i="1"/>
  <c r="N595" i="1" s="1"/>
  <c r="R595" i="1" s="1"/>
  <c r="M453" i="1"/>
  <c r="N453" i="1" s="1"/>
  <c r="R453" i="1" s="1"/>
  <c r="M328" i="1"/>
  <c r="N328" i="1" s="1"/>
  <c r="R328" i="1" s="1"/>
  <c r="M219" i="1"/>
  <c r="N219" i="1" s="1"/>
  <c r="R219" i="1" s="1"/>
  <c r="M80" i="1"/>
  <c r="N80" i="1" s="1"/>
  <c r="R80" i="1" s="1"/>
  <c r="M593" i="1"/>
  <c r="N593" i="1" s="1"/>
  <c r="R593" i="1" s="1"/>
  <c r="S30" i="1" s="1"/>
  <c r="M477" i="1"/>
  <c r="N477" i="1" s="1"/>
  <c r="R477" i="1" s="1"/>
  <c r="M269" i="1"/>
  <c r="N269" i="1" s="1"/>
  <c r="R269" i="1" s="1"/>
  <c r="M509" i="1"/>
  <c r="N509" i="1" s="1"/>
  <c r="R509" i="1" s="1"/>
  <c r="S25" i="1" s="1"/>
  <c r="M394" i="1"/>
  <c r="N394" i="1" s="1"/>
  <c r="R394" i="1" s="1"/>
  <c r="M259" i="1"/>
  <c r="N259" i="1" s="1"/>
  <c r="R259" i="1" s="1"/>
  <c r="M772" i="1"/>
  <c r="N772" i="1" s="1"/>
  <c r="R772" i="1" s="1"/>
  <c r="S37" i="1" s="1"/>
  <c r="M624" i="1"/>
  <c r="N624" i="1" s="1"/>
  <c r="R624" i="1" s="1"/>
  <c r="M426" i="1"/>
  <c r="N426" i="1" s="1"/>
  <c r="R426" i="1" s="1"/>
  <c r="M216" i="1"/>
  <c r="N216" i="1" s="1"/>
  <c r="R216" i="1" s="1"/>
  <c r="M1160" i="1"/>
  <c r="N1160" i="1" s="1"/>
  <c r="R1160" i="1" s="1"/>
  <c r="M1069" i="1"/>
  <c r="N1069" i="1" s="1"/>
  <c r="R1069" i="1" s="1"/>
  <c r="M971" i="1"/>
  <c r="N971" i="1" s="1"/>
  <c r="R971" i="1" s="1"/>
  <c r="M862" i="1"/>
  <c r="N862" i="1" s="1"/>
  <c r="R862" i="1" s="1"/>
  <c r="M755" i="1"/>
  <c r="N755" i="1" s="1"/>
  <c r="R755" i="1" s="1"/>
  <c r="M590" i="1"/>
  <c r="N590" i="1" s="1"/>
  <c r="R590" i="1" s="1"/>
  <c r="M367" i="1"/>
  <c r="N367" i="1" s="1"/>
  <c r="R367" i="1" s="1"/>
  <c r="M251" i="1"/>
  <c r="N251" i="1" s="1"/>
  <c r="R251" i="1" s="1"/>
  <c r="M663" i="1"/>
  <c r="N663" i="1" s="1"/>
  <c r="R663" i="1" s="1"/>
  <c r="M515" i="1"/>
  <c r="N515" i="1" s="1"/>
  <c r="R515" i="1" s="1"/>
  <c r="M407" i="1"/>
  <c r="N407" i="1" s="1"/>
  <c r="R407" i="1" s="1"/>
  <c r="M306" i="1"/>
  <c r="N306" i="1" s="1"/>
  <c r="R306" i="1" s="1"/>
  <c r="M173" i="1"/>
  <c r="N173" i="1" s="1"/>
  <c r="R173" i="1" s="1"/>
  <c r="M83" i="1"/>
  <c r="N83" i="1" s="1"/>
  <c r="R83" i="1" s="1"/>
  <c r="M688" i="1"/>
  <c r="N688" i="1" s="1"/>
  <c r="R688" i="1" s="1"/>
  <c r="M254" i="1"/>
  <c r="N254" i="1" s="1"/>
  <c r="M115" i="1"/>
  <c r="N115" i="1" s="1"/>
  <c r="R115" i="1" s="1"/>
  <c r="M7" i="1"/>
  <c r="N7" i="1" s="1"/>
  <c r="R7" i="1" s="1"/>
  <c r="S2" i="1" s="1"/>
  <c r="M39" i="1"/>
  <c r="N39" i="1" s="1"/>
  <c r="R39" i="1" s="1"/>
  <c r="M277" i="1"/>
  <c r="N277" i="1" s="1"/>
  <c r="R277" i="1" s="1"/>
  <c r="M137" i="1"/>
  <c r="N137" i="1" s="1"/>
  <c r="R137" i="1" s="1"/>
  <c r="M46" i="1"/>
  <c r="N46" i="1" s="1"/>
  <c r="R46" i="1" s="1"/>
  <c r="M225" i="1"/>
  <c r="N225" i="1" s="1"/>
  <c r="R225" i="1" s="1"/>
  <c r="M103" i="1"/>
  <c r="N103" i="1" s="1"/>
  <c r="R103" i="1" s="1"/>
  <c r="M3" i="1"/>
  <c r="N3" i="1" s="1"/>
  <c r="R3" i="1" s="1"/>
  <c r="M417" i="1"/>
  <c r="N417" i="1" s="1"/>
  <c r="R417" i="1" s="1"/>
  <c r="M985" i="1"/>
  <c r="N985" i="1" s="1"/>
  <c r="R985" i="1" s="1"/>
  <c r="M1149" i="1"/>
  <c r="N1149" i="1" s="1"/>
  <c r="R1149" i="1" s="1"/>
  <c r="M976" i="1"/>
  <c r="N976" i="1" s="1"/>
  <c r="R976" i="1" s="1"/>
  <c r="M974" i="1"/>
  <c r="N974" i="1" s="1"/>
  <c r="R974" i="1" s="1"/>
  <c r="M799" i="1"/>
  <c r="N799" i="1" s="1"/>
  <c r="R799" i="1" s="1"/>
  <c r="M1154" i="1"/>
  <c r="N1154" i="1" s="1"/>
  <c r="R1154" i="1" s="1"/>
  <c r="M1063" i="1"/>
  <c r="N1063" i="1" s="1"/>
  <c r="R1063" i="1" s="1"/>
  <c r="M965" i="1"/>
  <c r="N965" i="1" s="1"/>
  <c r="R965" i="1" s="1"/>
  <c r="M881" i="1"/>
  <c r="N881" i="1" s="1"/>
  <c r="R881" i="1" s="1"/>
  <c r="S43" i="1" s="1"/>
  <c r="M790" i="1"/>
  <c r="N790" i="1" s="1"/>
  <c r="R790" i="1" s="1"/>
  <c r="M617" i="1"/>
  <c r="N617" i="1" s="1"/>
  <c r="R617" i="1" s="1"/>
  <c r="M1175" i="1"/>
  <c r="N1175" i="1" s="1"/>
  <c r="R1175" i="1" s="1"/>
  <c r="M994" i="1"/>
  <c r="N994" i="1" s="1"/>
  <c r="R994" i="1" s="1"/>
  <c r="M836" i="1"/>
  <c r="N836" i="1" s="1"/>
  <c r="R836" i="1" s="1"/>
  <c r="M466" i="1"/>
  <c r="N466" i="1" s="1"/>
  <c r="R466" i="1" s="1"/>
  <c r="M802" i="1"/>
  <c r="N802" i="1" s="1"/>
  <c r="M670" i="1"/>
  <c r="N670" i="1" s="1"/>
  <c r="R670" i="1" s="1"/>
  <c r="M497" i="1"/>
  <c r="N497" i="1" s="1"/>
  <c r="M237" i="1"/>
  <c r="N237" i="1" s="1"/>
  <c r="R237" i="1" s="1"/>
  <c r="M868" i="1"/>
  <c r="N868" i="1" s="1"/>
  <c r="R868" i="1" s="1"/>
  <c r="M744" i="1"/>
  <c r="N744" i="1" s="1"/>
  <c r="R744" i="1" s="1"/>
  <c r="M604" i="1"/>
  <c r="N604" i="1" s="1"/>
  <c r="R604" i="1" s="1"/>
  <c r="M479" i="1"/>
  <c r="N479" i="1" s="1"/>
  <c r="M805" i="1"/>
  <c r="N805" i="1" s="1"/>
  <c r="R805" i="1" s="1"/>
  <c r="M462" i="1"/>
  <c r="N462" i="1" s="1"/>
  <c r="R462" i="1" s="1"/>
  <c r="M271" i="1"/>
  <c r="N271" i="1" s="1"/>
  <c r="R271" i="1" s="1"/>
  <c r="M155" i="1"/>
  <c r="N155" i="1" s="1"/>
  <c r="R155" i="1" s="1"/>
  <c r="M15" i="1"/>
  <c r="N15" i="1" s="1"/>
  <c r="R15" i="1" s="1"/>
  <c r="M983" i="1"/>
  <c r="N983" i="1" s="1"/>
  <c r="R983" i="1" s="1"/>
  <c r="M867" i="1"/>
  <c r="N867" i="1" s="1"/>
  <c r="R867" i="1" s="1"/>
  <c r="M743" i="1"/>
  <c r="N743" i="1" s="1"/>
  <c r="R743" i="1" s="1"/>
  <c r="M586" i="1"/>
  <c r="N586" i="1" s="1"/>
  <c r="R586" i="1" s="1"/>
  <c r="M977" i="1"/>
  <c r="N977" i="1" s="1"/>
  <c r="R977" i="1" s="1"/>
  <c r="M1124" i="1"/>
  <c r="N1124" i="1" s="1"/>
  <c r="R1124" i="1" s="1"/>
  <c r="M960" i="1"/>
  <c r="N960" i="1" s="1"/>
  <c r="R960" i="1" s="1"/>
  <c r="M949" i="1"/>
  <c r="N949" i="1" s="1"/>
  <c r="R949" i="1" s="1"/>
  <c r="M750" i="1"/>
  <c r="N750" i="1" s="1"/>
  <c r="R750" i="1" s="1"/>
  <c r="M1153" i="1"/>
  <c r="N1153" i="1" s="1"/>
  <c r="M1054" i="1"/>
  <c r="N1054" i="1" s="1"/>
  <c r="R1054" i="1" s="1"/>
  <c r="M964" i="1"/>
  <c r="N964" i="1" s="1"/>
  <c r="R964" i="1" s="1"/>
  <c r="M863" i="1"/>
  <c r="N863" i="1" s="1"/>
  <c r="R863" i="1" s="1"/>
  <c r="M774" i="1"/>
  <c r="N774" i="1" s="1"/>
  <c r="R774" i="1" s="1"/>
  <c r="M592" i="1"/>
  <c r="N592" i="1" s="1"/>
  <c r="R592" i="1" s="1"/>
  <c r="M1126" i="1"/>
  <c r="N1126" i="1" s="1"/>
  <c r="R1126" i="1" s="1"/>
  <c r="M986" i="1"/>
  <c r="N986" i="1" s="1"/>
  <c r="R986" i="1" s="1"/>
  <c r="M820" i="1"/>
  <c r="N820" i="1" s="1"/>
  <c r="R820" i="1" s="1"/>
  <c r="M441" i="1"/>
  <c r="N441" i="1" s="1"/>
  <c r="R441" i="1" s="1"/>
  <c r="M794" i="1"/>
  <c r="N794" i="1" s="1"/>
  <c r="R794" i="1" s="1"/>
  <c r="M638" i="1"/>
  <c r="N638" i="1" s="1"/>
  <c r="R638" i="1" s="1"/>
  <c r="M480" i="1"/>
  <c r="N480" i="1" s="1"/>
  <c r="R480" i="1" s="1"/>
  <c r="M172" i="1"/>
  <c r="N172" i="1" s="1"/>
  <c r="R172" i="1" s="1"/>
  <c r="M859" i="1"/>
  <c r="N859" i="1" s="1"/>
  <c r="R859" i="1" s="1"/>
  <c r="M736" i="1"/>
  <c r="N736" i="1" s="1"/>
  <c r="R736" i="1" s="1"/>
  <c r="M587" i="1"/>
  <c r="N587" i="1" s="1"/>
  <c r="M471" i="1"/>
  <c r="N471" i="1" s="1"/>
  <c r="R471" i="1" s="1"/>
  <c r="M1172" i="1"/>
  <c r="N1172" i="1" s="1"/>
  <c r="R1172" i="1" s="1"/>
  <c r="M363" i="1"/>
  <c r="N363" i="1" s="1"/>
  <c r="R363" i="1" s="1"/>
  <c r="M262" i="1"/>
  <c r="N262" i="1" s="1"/>
  <c r="R262" i="1" s="1"/>
  <c r="M147" i="1"/>
  <c r="N147" i="1" s="1"/>
  <c r="R147" i="1" s="1"/>
  <c r="M1097" i="1"/>
  <c r="N1097" i="1" s="1"/>
  <c r="R1097" i="1" s="1"/>
  <c r="M967" i="1"/>
  <c r="N967" i="1" s="1"/>
  <c r="R967" i="1" s="1"/>
  <c r="M858" i="1"/>
  <c r="N858" i="1" s="1"/>
  <c r="R858" i="1" s="1"/>
  <c r="M684" i="1"/>
  <c r="N684" i="1" s="1"/>
  <c r="R684" i="1" s="1"/>
  <c r="M578" i="1"/>
  <c r="N578" i="1" s="1"/>
  <c r="R578" i="1" s="1"/>
  <c r="M421" i="1"/>
  <c r="N421" i="1" s="1"/>
  <c r="R421" i="1" s="1"/>
  <c r="M295" i="1"/>
  <c r="N295" i="1" s="1"/>
  <c r="R295" i="1" s="1"/>
  <c r="M195" i="1"/>
  <c r="N195" i="1" s="1"/>
  <c r="R195" i="1" s="1"/>
  <c r="M708" i="1"/>
  <c r="N708" i="1" s="1"/>
  <c r="R708" i="1" s="1"/>
  <c r="M552" i="1"/>
  <c r="N552" i="1" s="1"/>
  <c r="R552" i="1" s="1"/>
  <c r="M461" i="1"/>
  <c r="N461" i="1" s="1"/>
  <c r="R461" i="1" s="1"/>
  <c r="M625" i="1"/>
  <c r="N625" i="1" s="1"/>
  <c r="R625" i="1" s="1"/>
  <c r="M476" i="1"/>
  <c r="N476" i="1" s="1"/>
  <c r="R476" i="1" s="1"/>
  <c r="M369" i="1"/>
  <c r="N369" i="1" s="1"/>
  <c r="R369" i="1" s="1"/>
  <c r="M209" i="1"/>
  <c r="N209" i="1" s="1"/>
  <c r="R209" i="1" s="1"/>
  <c r="M714" i="1"/>
  <c r="N714" i="1" s="1"/>
  <c r="R714" i="1" s="1"/>
  <c r="S34" i="1" s="1"/>
  <c r="M600" i="1"/>
  <c r="N600" i="1" s="1"/>
  <c r="R600" i="1" s="1"/>
  <c r="M401" i="1"/>
  <c r="N401" i="1" s="1"/>
  <c r="R401" i="1" s="1"/>
  <c r="M85" i="1"/>
  <c r="N85" i="1" s="1"/>
  <c r="R85" i="1" s="1"/>
  <c r="M1144" i="1"/>
  <c r="N1144" i="1" s="1"/>
  <c r="R1144" i="1" s="1"/>
  <c r="M1053" i="1"/>
  <c r="N1053" i="1" s="1"/>
  <c r="R1053" i="1" s="1"/>
  <c r="M938" i="1"/>
  <c r="N938" i="1" s="1"/>
  <c r="R938" i="1" s="1"/>
  <c r="M837" i="1"/>
  <c r="N837" i="1" s="1"/>
  <c r="R837" i="1" s="1"/>
  <c r="S39" i="1" s="1"/>
  <c r="M731" i="1"/>
  <c r="N731" i="1" s="1"/>
  <c r="R731" i="1" s="1"/>
  <c r="M533" i="1"/>
  <c r="N533" i="1" s="1"/>
  <c r="R533" i="1" s="1"/>
  <c r="M324" i="1"/>
  <c r="N324" i="1" s="1"/>
  <c r="R324" i="1" s="1"/>
  <c r="M762" i="1"/>
  <c r="N762" i="1" s="1"/>
  <c r="R762" i="1" s="1"/>
  <c r="M606" i="1"/>
  <c r="N606" i="1" s="1"/>
  <c r="R606" i="1" s="1"/>
  <c r="M489" i="1"/>
  <c r="N489" i="1" s="1"/>
  <c r="R489" i="1" s="1"/>
  <c r="M382" i="1"/>
  <c r="N382" i="1" s="1"/>
  <c r="R382" i="1" s="1"/>
  <c r="S21" i="1" s="1"/>
  <c r="M238" i="1"/>
  <c r="N238" i="1" s="1"/>
  <c r="R238" i="1" s="1"/>
  <c r="M149" i="1"/>
  <c r="N149" i="1" s="1"/>
  <c r="R149" i="1" s="1"/>
  <c r="M67" i="1"/>
  <c r="N67" i="1" s="1"/>
  <c r="R67" i="1" s="1"/>
  <c r="M327" i="1"/>
  <c r="N327" i="1" s="1"/>
  <c r="R327" i="1" s="1"/>
  <c r="M221" i="1"/>
  <c r="N221" i="1" s="1"/>
  <c r="R221" i="1" s="1"/>
  <c r="M82" i="1"/>
  <c r="N82" i="1" s="1"/>
  <c r="R82" i="1" s="1"/>
  <c r="M113" i="1"/>
  <c r="N113" i="1" s="1"/>
  <c r="R113" i="1" s="1"/>
  <c r="M5" i="1"/>
  <c r="N5" i="1" s="1"/>
  <c r="R5" i="1" s="1"/>
  <c r="M234" i="1"/>
  <c r="N234" i="1" s="1"/>
  <c r="R234" i="1" s="1"/>
  <c r="M120" i="1"/>
  <c r="N120" i="1" s="1"/>
  <c r="R120" i="1" s="1"/>
  <c r="M30" i="1"/>
  <c r="N30" i="1" s="1"/>
  <c r="R30" i="1" s="1"/>
  <c r="M201" i="1"/>
  <c r="N201" i="1" s="1"/>
  <c r="R201" i="1" s="1"/>
  <c r="M70" i="1"/>
  <c r="N70" i="1" s="1"/>
  <c r="R70" i="1" s="1"/>
  <c r="M657" i="1"/>
  <c r="N657" i="1" s="1"/>
  <c r="R657" i="1" s="1"/>
  <c r="M341" i="1"/>
  <c r="N341" i="1" s="1"/>
  <c r="R341" i="1" s="1"/>
  <c r="M175" i="1"/>
  <c r="N175" i="1" s="1"/>
  <c r="R175" i="1" s="1"/>
  <c r="M60" i="1"/>
  <c r="N60" i="1" s="1"/>
  <c r="R60" i="1" s="1"/>
  <c r="M582" i="1"/>
  <c r="N582" i="1" s="1"/>
  <c r="R582" i="1" s="1"/>
  <c r="M265" i="1"/>
  <c r="N265" i="1" s="1"/>
  <c r="R265" i="1" s="1"/>
  <c r="M158" i="1"/>
  <c r="N158" i="1" s="1"/>
  <c r="R158" i="1" s="1"/>
  <c r="M76" i="1"/>
  <c r="N76" i="1" s="1"/>
  <c r="M969" i="1"/>
  <c r="N969" i="1" s="1"/>
  <c r="R969" i="1" s="1"/>
  <c r="M1115" i="1"/>
  <c r="N1115" i="1" s="1"/>
  <c r="R1115" i="1" s="1"/>
  <c r="M529" i="1"/>
  <c r="N529" i="1" s="1"/>
  <c r="R529" i="1" s="1"/>
  <c r="M1088" i="1"/>
  <c r="N1088" i="1" s="1"/>
  <c r="R1088" i="1" s="1"/>
  <c r="M924" i="1"/>
  <c r="N924" i="1" s="1"/>
  <c r="R924" i="1" s="1"/>
  <c r="M725" i="1"/>
  <c r="N725" i="1" s="1"/>
  <c r="R725" i="1" s="1"/>
  <c r="M1138" i="1"/>
  <c r="N1138" i="1" s="1"/>
  <c r="R1138" i="1" s="1"/>
  <c r="M1029" i="1"/>
  <c r="N1029" i="1" s="1"/>
  <c r="R1029" i="1" s="1"/>
  <c r="M955" i="1"/>
  <c r="N955" i="1" s="1"/>
  <c r="R955" i="1" s="1"/>
  <c r="M855" i="1"/>
  <c r="N855" i="1" s="1"/>
  <c r="R855" i="1" s="1"/>
  <c r="M756" i="1"/>
  <c r="N756" i="1" s="1"/>
  <c r="R756" i="1" s="1"/>
  <c r="M576" i="1"/>
  <c r="N576" i="1" s="1"/>
  <c r="R576" i="1" s="1"/>
  <c r="M1108" i="1"/>
  <c r="N1108" i="1" s="1"/>
  <c r="R1108" i="1" s="1"/>
  <c r="M978" i="1"/>
  <c r="N978" i="1" s="1"/>
  <c r="R978" i="1" s="1"/>
  <c r="M811" i="1"/>
  <c r="N811" i="1" s="1"/>
  <c r="R811" i="1" s="1"/>
  <c r="M391" i="1"/>
  <c r="N391" i="1" s="1"/>
  <c r="R391" i="1" s="1"/>
  <c r="M786" i="1"/>
  <c r="N786" i="1" s="1"/>
  <c r="R786" i="1" s="1"/>
  <c r="M605" i="1"/>
  <c r="N605" i="1" s="1"/>
  <c r="R605" i="1" s="1"/>
  <c r="M455" i="1"/>
  <c r="N455" i="1" s="1"/>
  <c r="R455" i="1" s="1"/>
  <c r="M41" i="1"/>
  <c r="N41" i="1" s="1"/>
  <c r="R41" i="1" s="1"/>
  <c r="M851" i="1"/>
  <c r="N851" i="1" s="1"/>
  <c r="R851" i="1" s="1"/>
  <c r="M710" i="1"/>
  <c r="N710" i="1" s="1"/>
  <c r="R710" i="1" s="1"/>
  <c r="M579" i="1"/>
  <c r="N579" i="1" s="1"/>
  <c r="R579" i="1" s="1"/>
  <c r="M446" i="1"/>
  <c r="N446" i="1" s="1"/>
  <c r="R446" i="1" s="1"/>
  <c r="M1156" i="1"/>
  <c r="N1156" i="1" s="1"/>
  <c r="R1156" i="1" s="1"/>
  <c r="M218" i="1"/>
  <c r="N218" i="1" s="1"/>
  <c r="R218" i="1" s="1"/>
  <c r="M253" i="1"/>
  <c r="N253" i="1" s="1"/>
  <c r="R253" i="1" s="1"/>
  <c r="M114" i="1"/>
  <c r="N114" i="1" s="1"/>
  <c r="R114" i="1" s="1"/>
  <c r="M1089" i="1"/>
  <c r="N1089" i="1" s="1"/>
  <c r="R1089" i="1" s="1"/>
  <c r="M958" i="1"/>
  <c r="N958" i="1" s="1"/>
  <c r="R958" i="1" s="1"/>
  <c r="S46" i="1" s="1"/>
  <c r="M842" i="1"/>
  <c r="N842" i="1" s="1"/>
  <c r="R842" i="1" s="1"/>
  <c r="M668" i="1"/>
  <c r="N668" i="1" s="1"/>
  <c r="R668" i="1" s="1"/>
  <c r="M570" i="1"/>
  <c r="N570" i="1" s="1"/>
  <c r="R570" i="1" s="1"/>
  <c r="M396" i="1"/>
  <c r="N396" i="1" s="1"/>
  <c r="R396" i="1" s="1"/>
  <c r="M287" i="1"/>
  <c r="N287" i="1" s="1"/>
  <c r="R287" i="1" s="1"/>
  <c r="M186" i="1"/>
  <c r="N186" i="1" s="1"/>
  <c r="R186" i="1" s="1"/>
  <c r="S9" i="1" s="1"/>
  <c r="M683" i="1"/>
  <c r="N683" i="1" s="1"/>
  <c r="R683" i="1" s="1"/>
  <c r="M544" i="1"/>
  <c r="N544" i="1" s="1"/>
  <c r="R544" i="1" s="1"/>
  <c r="M444" i="1"/>
  <c r="N444" i="1" s="1"/>
  <c r="R444" i="1" s="1"/>
  <c r="M601" i="1"/>
  <c r="N601" i="1" s="1"/>
  <c r="R601" i="1" s="1"/>
  <c r="M460" i="1"/>
  <c r="N460" i="1" s="1"/>
  <c r="R460" i="1" s="1"/>
  <c r="M361" i="1"/>
  <c r="N361" i="1" s="1"/>
  <c r="R361" i="1" s="1"/>
  <c r="M144" i="1"/>
  <c r="N144" i="1" s="1"/>
  <c r="R144" i="1" s="1"/>
  <c r="M927" i="1"/>
  <c r="N927" i="1" s="1"/>
  <c r="M1064" i="1"/>
  <c r="N1064" i="1" s="1"/>
  <c r="R1064" i="1" s="1"/>
  <c r="M692" i="1"/>
  <c r="N692" i="1" s="1"/>
  <c r="R692" i="1" s="1"/>
  <c r="M1021" i="1"/>
  <c r="N1021" i="1" s="1"/>
  <c r="R1021" i="1" s="1"/>
  <c r="M840" i="1"/>
  <c r="N840" i="1" s="1"/>
  <c r="R840" i="1" s="1"/>
  <c r="M342" i="1"/>
  <c r="N342" i="1" s="1"/>
  <c r="R342" i="1" s="1"/>
  <c r="M912" i="1"/>
  <c r="N912" i="1" s="1"/>
  <c r="R912" i="1" s="1"/>
  <c r="M198" i="1"/>
  <c r="N198" i="1" s="1"/>
  <c r="R198" i="1" s="1"/>
  <c r="M588" i="1"/>
  <c r="N588" i="1" s="1"/>
  <c r="R588" i="1" s="1"/>
  <c r="M839" i="1"/>
  <c r="N839" i="1" s="1"/>
  <c r="R839" i="1" s="1"/>
  <c r="M669" i="1"/>
  <c r="N669" i="1" s="1"/>
  <c r="R669" i="1" s="1"/>
  <c r="M413" i="1"/>
  <c r="N413" i="1" s="1"/>
  <c r="R413" i="1" s="1"/>
  <c r="M345" i="1"/>
  <c r="N345" i="1" s="1"/>
  <c r="R345" i="1" s="1"/>
  <c r="M81" i="1"/>
  <c r="N81" i="1" s="1"/>
  <c r="R81" i="1" s="1"/>
  <c r="M925" i="1"/>
  <c r="N925" i="1" s="1"/>
  <c r="R925" i="1" s="1"/>
  <c r="M652" i="1"/>
  <c r="N652" i="1" s="1"/>
  <c r="R652" i="1" s="1"/>
  <c r="M379" i="1"/>
  <c r="N379" i="1" s="1"/>
  <c r="M235" i="1"/>
  <c r="N235" i="1" s="1"/>
  <c r="R235" i="1" s="1"/>
  <c r="M635" i="1"/>
  <c r="N635" i="1" s="1"/>
  <c r="R635" i="1" s="1"/>
  <c r="M469" i="1"/>
  <c r="N469" i="1" s="1"/>
  <c r="R469" i="1" s="1"/>
  <c r="M535" i="1"/>
  <c r="N535" i="1" s="1"/>
  <c r="R535" i="1" s="1"/>
  <c r="M351" i="1"/>
  <c r="N351" i="1" s="1"/>
  <c r="R351" i="1" s="1"/>
  <c r="S19" i="1" s="1"/>
  <c r="M781" i="1"/>
  <c r="N781" i="1" s="1"/>
  <c r="R781" i="1" s="1"/>
  <c r="M575" i="1"/>
  <c r="N575" i="1" s="1"/>
  <c r="R575" i="1" s="1"/>
  <c r="M308" i="1"/>
  <c r="N308" i="1" s="1"/>
  <c r="R308" i="1" s="1"/>
  <c r="M156" i="1"/>
  <c r="N156" i="1" s="1"/>
  <c r="R156" i="1" s="1"/>
  <c r="M1028" i="1"/>
  <c r="N1028" i="1" s="1"/>
  <c r="R1028" i="1" s="1"/>
  <c r="M905" i="1"/>
  <c r="N905" i="1" s="1"/>
  <c r="R905" i="1" s="1"/>
  <c r="M763" i="1"/>
  <c r="N763" i="1" s="1"/>
  <c r="R763" i="1" s="1"/>
  <c r="M524" i="1"/>
  <c r="N524" i="1" s="1"/>
  <c r="R524" i="1" s="1"/>
  <c r="M239" i="1"/>
  <c r="N239" i="1" s="1"/>
  <c r="R239" i="1" s="1"/>
  <c r="M671" i="1"/>
  <c r="N671" i="1" s="1"/>
  <c r="R671" i="1" s="1"/>
  <c r="M481" i="1"/>
  <c r="N481" i="1" s="1"/>
  <c r="R481" i="1" s="1"/>
  <c r="M331" i="1"/>
  <c r="N331" i="1" s="1"/>
  <c r="R331" i="1" s="1"/>
  <c r="M181" i="1"/>
  <c r="N181" i="1" s="1"/>
  <c r="R181" i="1" s="1"/>
  <c r="M50" i="1"/>
  <c r="N50" i="1" s="1"/>
  <c r="R50" i="1" s="1"/>
  <c r="M280" i="1"/>
  <c r="N280" i="1" s="1"/>
  <c r="R280" i="1" s="1"/>
  <c r="M66" i="1"/>
  <c r="N66" i="1" s="1"/>
  <c r="R66" i="1" s="1"/>
  <c r="M72" i="1"/>
  <c r="N72" i="1" s="1"/>
  <c r="R72" i="1" s="1"/>
  <c r="M294" i="1"/>
  <c r="N294" i="1" s="1"/>
  <c r="R294" i="1" s="1"/>
  <c r="M112" i="1"/>
  <c r="N112" i="1" s="1"/>
  <c r="R112" i="1" s="1"/>
  <c r="M267" i="1"/>
  <c r="N267" i="1" s="1"/>
  <c r="R267" i="1" s="1"/>
  <c r="S14" i="1" s="1"/>
  <c r="M111" i="1"/>
  <c r="N111" i="1" s="1"/>
  <c r="R111" i="1" s="1"/>
  <c r="M616" i="1"/>
  <c r="N616" i="1" s="1"/>
  <c r="R616" i="1" s="1"/>
  <c r="M266" i="1"/>
  <c r="N266" i="1" s="1"/>
  <c r="R266" i="1" s="1"/>
  <c r="M143" i="1"/>
  <c r="N143" i="1" s="1"/>
  <c r="R143" i="1" s="1"/>
  <c r="M672" i="1"/>
  <c r="N672" i="1" s="1"/>
  <c r="R672" i="1" s="1"/>
  <c r="M332" i="1"/>
  <c r="N332" i="1" s="1"/>
  <c r="R332" i="1" s="1"/>
  <c r="M166" i="1"/>
  <c r="N166" i="1" s="1"/>
  <c r="R166" i="1" s="1"/>
  <c r="M68" i="1"/>
  <c r="N68" i="1" s="1"/>
  <c r="R68" i="1" s="1"/>
  <c r="M895" i="1"/>
  <c r="N895" i="1" s="1"/>
  <c r="R895" i="1" s="1"/>
  <c r="M1056" i="1"/>
  <c r="N1056" i="1" s="1"/>
  <c r="R1056" i="1" s="1"/>
  <c r="M651" i="1"/>
  <c r="N651" i="1" s="1"/>
  <c r="R651" i="1" s="1"/>
  <c r="M1014" i="1"/>
  <c r="N1014" i="1" s="1"/>
  <c r="R1014" i="1" s="1"/>
  <c r="M815" i="1"/>
  <c r="N815" i="1" s="1"/>
  <c r="R815" i="1" s="1"/>
  <c r="M972" i="1"/>
  <c r="N972" i="1" s="1"/>
  <c r="R972" i="1" s="1"/>
  <c r="M904" i="1"/>
  <c r="N904" i="1" s="1"/>
  <c r="R904" i="1" s="1"/>
  <c r="M59" i="1"/>
  <c r="N59" i="1" s="1"/>
  <c r="R59" i="1" s="1"/>
  <c r="M572" i="1"/>
  <c r="N572" i="1" s="1"/>
  <c r="R572" i="1" s="1"/>
  <c r="M935" i="1"/>
  <c r="N935" i="1" s="1"/>
  <c r="R935" i="1" s="1"/>
  <c r="M661" i="1"/>
  <c r="N661" i="1" s="1"/>
  <c r="M397" i="1"/>
  <c r="N397" i="1" s="1"/>
  <c r="R397" i="1" s="1"/>
  <c r="M337" i="1"/>
  <c r="N337" i="1" s="1"/>
  <c r="R337" i="1" s="1"/>
  <c r="M73" i="1"/>
  <c r="N73" i="1" s="1"/>
  <c r="R73" i="1" s="1"/>
  <c r="M909" i="1"/>
  <c r="N909" i="1" s="1"/>
  <c r="R909" i="1" s="1"/>
  <c r="M644" i="1"/>
  <c r="N644" i="1" s="1"/>
  <c r="R644" i="1" s="1"/>
  <c r="M371" i="1"/>
  <c r="N371" i="1" s="1"/>
  <c r="R371" i="1" s="1"/>
  <c r="M203" i="1"/>
  <c r="N203" i="1" s="1"/>
  <c r="R203" i="1" s="1"/>
  <c r="M618" i="1"/>
  <c r="N618" i="1" s="1"/>
  <c r="R618" i="1" s="1"/>
  <c r="M419" i="1"/>
  <c r="N419" i="1" s="1"/>
  <c r="R419" i="1" s="1"/>
  <c r="S22" i="1" s="1"/>
  <c r="M518" i="1"/>
  <c r="N518" i="1" s="1"/>
  <c r="R518" i="1" s="1"/>
  <c r="M326" i="1"/>
  <c r="N326" i="1" s="1"/>
  <c r="R326" i="1" s="1"/>
  <c r="M732" i="1"/>
  <c r="N732" i="1" s="1"/>
  <c r="R732" i="1" s="1"/>
  <c r="M558" i="1"/>
  <c r="N558" i="1" s="1"/>
  <c r="R558" i="1" s="1"/>
  <c r="M292" i="1"/>
  <c r="N292" i="1" s="1"/>
  <c r="R292" i="1" s="1"/>
  <c r="M1152" i="1"/>
  <c r="N1152" i="1" s="1"/>
  <c r="R1152" i="1" s="1"/>
  <c r="M1012" i="1"/>
  <c r="N1012" i="1" s="1"/>
  <c r="M897" i="1"/>
  <c r="N897" i="1" s="1"/>
  <c r="R897" i="1" s="1"/>
  <c r="M747" i="1"/>
  <c r="N747" i="1" s="1"/>
  <c r="R747" i="1" s="1"/>
  <c r="M507" i="1"/>
  <c r="N507" i="1" s="1"/>
  <c r="R507" i="1" s="1"/>
  <c r="M542" i="1"/>
  <c r="N542" i="1" s="1"/>
  <c r="M639" i="1"/>
  <c r="N639" i="1" s="1"/>
  <c r="R639" i="1" s="1"/>
  <c r="M473" i="1"/>
  <c r="N473" i="1" s="1"/>
  <c r="R473" i="1" s="1"/>
  <c r="M323" i="1"/>
  <c r="N323" i="1" s="1"/>
  <c r="R323" i="1" s="1"/>
  <c r="M157" i="1"/>
  <c r="N157" i="1" s="1"/>
  <c r="R157" i="1" s="1"/>
  <c r="M42" i="1"/>
  <c r="N42" i="1" s="1"/>
  <c r="R42" i="1" s="1"/>
  <c r="M246" i="1"/>
  <c r="N246" i="1" s="1"/>
  <c r="R246" i="1" s="1"/>
  <c r="M57" i="1"/>
  <c r="N57" i="1" s="1"/>
  <c r="R57" i="1" s="1"/>
  <c r="M55" i="1"/>
  <c r="N55" i="1" s="1"/>
  <c r="R55" i="1" s="1"/>
  <c r="M260" i="1"/>
  <c r="N260" i="1" s="1"/>
  <c r="R260" i="1" s="1"/>
  <c r="M104" i="1"/>
  <c r="N104" i="1" s="1"/>
  <c r="R104" i="1" s="1"/>
  <c r="M242" i="1"/>
  <c r="N242" i="1" s="1"/>
  <c r="R242" i="1" s="1"/>
  <c r="M78" i="1"/>
  <c r="N78" i="1" s="1"/>
  <c r="R78" i="1" s="1"/>
  <c r="M591" i="1"/>
  <c r="N591" i="1" s="1"/>
  <c r="R591" i="1" s="1"/>
  <c r="M257" i="1"/>
  <c r="N257" i="1" s="1"/>
  <c r="R257" i="1" s="1"/>
  <c r="S11" i="1" s="1"/>
  <c r="M102" i="1"/>
  <c r="N102" i="1" s="1"/>
  <c r="R102" i="1" s="1"/>
  <c r="M648" i="1"/>
  <c r="N648" i="1" s="1"/>
  <c r="R648" i="1" s="1"/>
  <c r="M315" i="1"/>
  <c r="N315" i="1" s="1"/>
  <c r="R315" i="1" s="1"/>
  <c r="M150" i="1"/>
  <c r="N150" i="1" s="1"/>
  <c r="R150" i="1" s="1"/>
  <c r="M51" i="1"/>
  <c r="N51" i="1" s="1"/>
  <c r="R51" i="1" s="1"/>
  <c r="M878" i="1"/>
  <c r="N878" i="1" s="1"/>
  <c r="R878" i="1" s="1"/>
  <c r="M1047" i="1"/>
  <c r="N1047" i="1" s="1"/>
  <c r="R1047" i="1" s="1"/>
  <c r="M988" i="1"/>
  <c r="N988" i="1" s="1"/>
  <c r="R988" i="1" s="1"/>
  <c r="M806" i="1"/>
  <c r="N806" i="1" s="1"/>
  <c r="R806" i="1" s="1"/>
  <c r="M1169" i="1"/>
  <c r="N1169" i="1" s="1"/>
  <c r="M896" i="1"/>
  <c r="N896" i="1" s="1"/>
  <c r="R896" i="1" s="1"/>
  <c r="M1137" i="1"/>
  <c r="N1137" i="1" s="1"/>
  <c r="R1137" i="1" s="1"/>
  <c r="M522" i="1"/>
  <c r="N522" i="1" s="1"/>
  <c r="R522" i="1" s="1"/>
  <c r="M910" i="1"/>
  <c r="N910" i="1" s="1"/>
  <c r="R910" i="1" s="1"/>
  <c r="M653" i="1"/>
  <c r="N653" i="1" s="1"/>
  <c r="R653" i="1" s="1"/>
  <c r="M380" i="1"/>
  <c r="N380" i="1" s="1"/>
  <c r="R380" i="1" s="1"/>
  <c r="M320" i="1"/>
  <c r="N320" i="1" s="1"/>
  <c r="R320" i="1" s="1"/>
  <c r="M65" i="1"/>
  <c r="N65" i="1" s="1"/>
  <c r="R65" i="1" s="1"/>
  <c r="M893" i="1"/>
  <c r="N893" i="1" s="1"/>
  <c r="R893" i="1" s="1"/>
  <c r="M611" i="1"/>
  <c r="N611" i="1" s="1"/>
  <c r="R611" i="1" s="1"/>
  <c r="M355" i="1"/>
  <c r="N355" i="1" s="1"/>
  <c r="R355" i="1" s="1"/>
  <c r="M178" i="1"/>
  <c r="N178" i="1" s="1"/>
  <c r="R178" i="1" s="1"/>
  <c r="M610" i="1"/>
  <c r="N610" i="1" s="1"/>
  <c r="R610" i="1" s="1"/>
  <c r="M378" i="1"/>
  <c r="N378" i="1" s="1"/>
  <c r="R378" i="1" s="1"/>
  <c r="M492" i="1"/>
  <c r="N492" i="1" s="1"/>
  <c r="R492" i="1" s="1"/>
  <c r="S24" i="1" s="1"/>
  <c r="M301" i="1"/>
  <c r="N301" i="1" s="1"/>
  <c r="R301" i="1" s="1"/>
  <c r="M706" i="1"/>
  <c r="N706" i="1" s="1"/>
  <c r="R706" i="1" s="1"/>
  <c r="M508" i="1"/>
  <c r="N508" i="1" s="1"/>
  <c r="R508" i="1" s="1"/>
  <c r="M240" i="1"/>
  <c r="N240" i="1" s="1"/>
  <c r="R240" i="1" s="1"/>
  <c r="S10" i="1" s="1"/>
  <c r="M1136" i="1"/>
  <c r="N1136" i="1" s="1"/>
  <c r="R1136" i="1" s="1"/>
  <c r="M1003" i="1"/>
  <c r="N1003" i="1" s="1"/>
  <c r="R1003" i="1" s="1"/>
  <c r="S47" i="1" s="1"/>
  <c r="M880" i="1"/>
  <c r="N880" i="1" s="1"/>
  <c r="R880" i="1" s="1"/>
  <c r="M697" i="1"/>
  <c r="N697" i="1" s="1"/>
  <c r="R697" i="1" s="1"/>
  <c r="M499" i="1"/>
  <c r="N499" i="1" s="1"/>
  <c r="R499" i="1" s="1"/>
  <c r="M330" i="1"/>
  <c r="N330" i="1" s="1"/>
  <c r="R330" i="1" s="1"/>
  <c r="M598" i="1"/>
  <c r="N598" i="1" s="1"/>
  <c r="R598" i="1" s="1"/>
  <c r="M456" i="1"/>
  <c r="N456" i="1" s="1"/>
  <c r="R456" i="1" s="1"/>
  <c r="S23" i="1" s="1"/>
  <c r="M314" i="1"/>
  <c r="N314" i="1" s="1"/>
  <c r="R314" i="1" s="1"/>
  <c r="M141" i="1"/>
  <c r="N141" i="1" s="1"/>
  <c r="R141" i="1" s="1"/>
  <c r="M34" i="1"/>
  <c r="N34" i="1" s="1"/>
  <c r="R34" i="1" s="1"/>
  <c r="M213" i="1"/>
  <c r="N213" i="1" s="1"/>
  <c r="R213" i="1" s="1"/>
  <c r="M49" i="1"/>
  <c r="N49" i="1" s="1"/>
  <c r="R49" i="1" s="1"/>
  <c r="M47" i="1"/>
  <c r="N47" i="1" s="1"/>
  <c r="R47" i="1" s="1"/>
  <c r="M210" i="1"/>
  <c r="N210" i="1" s="1"/>
  <c r="R210" i="1" s="1"/>
  <c r="M96" i="1"/>
  <c r="N96" i="1" s="1"/>
  <c r="R96" i="1" s="1"/>
  <c r="M233" i="1"/>
  <c r="N233" i="1" s="1"/>
  <c r="R233" i="1" s="1"/>
  <c r="M53" i="1"/>
  <c r="N53" i="1" s="1"/>
  <c r="R53" i="1" s="1"/>
  <c r="M525" i="1"/>
  <c r="N525" i="1" s="1"/>
  <c r="R525" i="1" s="1"/>
  <c r="M249" i="1"/>
  <c r="N249" i="1" s="1"/>
  <c r="R249" i="1" s="1"/>
  <c r="M93" i="1"/>
  <c r="N93" i="1" s="1"/>
  <c r="R93" i="1" s="1"/>
  <c r="S7" i="1" s="1"/>
  <c r="M607" i="1"/>
  <c r="N607" i="1" s="1"/>
  <c r="R607" i="1" s="1"/>
  <c r="M256" i="1"/>
  <c r="N256" i="1" s="1"/>
  <c r="R256" i="1" s="1"/>
  <c r="M142" i="1"/>
  <c r="N142" i="1" s="1"/>
  <c r="R142" i="1" s="1"/>
  <c r="M43" i="1"/>
  <c r="N43" i="1" s="1"/>
  <c r="R43" i="1" s="1"/>
  <c r="M860" i="1"/>
  <c r="N860" i="1" s="1"/>
  <c r="R860" i="1" s="1"/>
  <c r="M916" i="1"/>
  <c r="N916" i="1" s="1"/>
  <c r="R916" i="1" s="1"/>
  <c r="M1128" i="1"/>
  <c r="N1128" i="1" s="1"/>
  <c r="R1128" i="1" s="1"/>
  <c r="M931" i="1"/>
  <c r="N931" i="1" s="1"/>
  <c r="R931" i="1" s="1"/>
  <c r="M741" i="1"/>
  <c r="N741" i="1" s="1"/>
  <c r="R741" i="1" s="1"/>
  <c r="M1100" i="1"/>
  <c r="N1100" i="1" s="1"/>
  <c r="R1100" i="1" s="1"/>
  <c r="M780" i="1"/>
  <c r="N780" i="1" s="1"/>
  <c r="R780" i="1" s="1"/>
  <c r="M769" i="1"/>
  <c r="N769" i="1" s="1"/>
  <c r="R769" i="1" s="1"/>
  <c r="M423" i="1"/>
  <c r="N423" i="1" s="1"/>
  <c r="R423" i="1" s="1"/>
  <c r="M826" i="1"/>
  <c r="N826" i="1" s="1"/>
  <c r="R826" i="1" s="1"/>
  <c r="M562" i="1"/>
  <c r="N562" i="1" s="1"/>
  <c r="R562" i="1" s="1"/>
  <c r="M1122" i="1"/>
  <c r="N1122" i="1" s="1"/>
  <c r="R1122" i="1" s="1"/>
  <c r="S50" i="1" s="1"/>
  <c r="T50" i="1" s="1"/>
  <c r="M245" i="1"/>
  <c r="N245" i="1" s="1"/>
  <c r="R245" i="1" s="1"/>
  <c r="M1065" i="1"/>
  <c r="N1065" i="1" s="1"/>
  <c r="R1065" i="1" s="1"/>
  <c r="M817" i="1"/>
  <c r="N817" i="1" s="1"/>
  <c r="R817" i="1" s="1"/>
  <c r="M553" i="1"/>
  <c r="N553" i="1" s="1"/>
  <c r="R553" i="1" s="1"/>
  <c r="M336" i="1"/>
  <c r="N336" i="1" s="1"/>
  <c r="R336" i="1" s="1"/>
  <c r="M162" i="1"/>
  <c r="N162" i="1" s="1"/>
  <c r="R162" i="1" s="1"/>
  <c r="M569" i="1"/>
  <c r="N569" i="1" s="1"/>
  <c r="R569" i="1" s="1"/>
  <c r="M335" i="1"/>
  <c r="N335" i="1" s="1"/>
  <c r="R335" i="1" s="1"/>
  <c r="M451" i="1"/>
  <c r="N451" i="1" s="1"/>
  <c r="R451" i="1" s="1"/>
  <c r="M293" i="1"/>
  <c r="N293" i="1" s="1"/>
  <c r="R293" i="1" s="1"/>
  <c r="M698" i="1"/>
  <c r="N698" i="1" s="1"/>
  <c r="R698" i="1" s="1"/>
  <c r="M467" i="1"/>
  <c r="N467" i="1" s="1"/>
  <c r="M183" i="1"/>
  <c r="N183" i="1" s="1"/>
  <c r="R183" i="1" s="1"/>
  <c r="M1127" i="1"/>
  <c r="N1127" i="1" s="1"/>
  <c r="R1127" i="1" s="1"/>
  <c r="M995" i="1"/>
  <c r="N995" i="1" s="1"/>
  <c r="R995" i="1" s="1"/>
  <c r="M854" i="1"/>
  <c r="N854" i="1" s="1"/>
  <c r="R854" i="1" s="1"/>
  <c r="M631" i="1"/>
  <c r="N631" i="1" s="1"/>
  <c r="R631" i="1" s="1"/>
  <c r="M482" i="1"/>
  <c r="N482" i="1" s="1"/>
  <c r="R482" i="1" s="1"/>
  <c r="M123" i="1"/>
  <c r="N123" i="1" s="1"/>
  <c r="R123" i="1" s="1"/>
  <c r="M573" i="1"/>
  <c r="N573" i="1" s="1"/>
  <c r="R573" i="1" s="1"/>
  <c r="M432" i="1"/>
  <c r="N432" i="1" s="1"/>
  <c r="R432" i="1" s="1"/>
  <c r="M255" i="1"/>
  <c r="N255" i="1" s="1"/>
  <c r="R255" i="1" s="1"/>
  <c r="M133" i="1"/>
  <c r="N133" i="1" s="1"/>
  <c r="R133" i="1" s="1"/>
  <c r="M25" i="1"/>
  <c r="N25" i="1" s="1"/>
  <c r="R25" i="1" s="1"/>
  <c r="M180" i="1"/>
  <c r="N180" i="1" s="1"/>
  <c r="R180" i="1" s="1"/>
  <c r="M33" i="1"/>
  <c r="N33" i="1" s="1"/>
  <c r="R33" i="1" s="1"/>
  <c r="M22" i="1"/>
  <c r="N22" i="1" s="1"/>
  <c r="R22" i="1" s="1"/>
  <c r="M202" i="1"/>
  <c r="N202" i="1" s="1"/>
  <c r="R202" i="1" s="1"/>
  <c r="M62" i="1"/>
  <c r="N62" i="1" s="1"/>
  <c r="R62" i="1" s="1"/>
  <c r="S6" i="1" s="1"/>
  <c r="M217" i="1"/>
  <c r="N217" i="1" s="1"/>
  <c r="R217" i="1" s="1"/>
  <c r="M45" i="1"/>
  <c r="N45" i="1" s="1"/>
  <c r="R45" i="1" s="1"/>
  <c r="M483" i="1"/>
  <c r="N483" i="1" s="1"/>
  <c r="R483" i="1" s="1"/>
  <c r="M224" i="1"/>
  <c r="N224" i="1" s="1"/>
  <c r="R224" i="1" s="1"/>
  <c r="M77" i="1"/>
  <c r="N77" i="1" s="1"/>
  <c r="R77" i="1" s="1"/>
  <c r="M541" i="1"/>
  <c r="N541" i="1" s="1"/>
  <c r="R541" i="1" s="1"/>
  <c r="M223" i="1"/>
  <c r="N223" i="1" s="1"/>
  <c r="R223" i="1" s="1"/>
  <c r="M134" i="1"/>
  <c r="N134" i="1" s="1"/>
  <c r="R134" i="1" s="1"/>
  <c r="M26" i="1"/>
  <c r="N26" i="1" s="1"/>
  <c r="R26" i="1" s="1"/>
  <c r="M348" i="1"/>
  <c r="N348" i="1" s="1"/>
  <c r="R348" i="1" s="1"/>
  <c r="M1076" i="1"/>
  <c r="N1076" i="1" s="1"/>
  <c r="R1076" i="1" s="1"/>
  <c r="R737" i="1"/>
  <c r="R727" i="1"/>
  <c r="R992" i="1"/>
  <c r="M101" i="1"/>
  <c r="N101" i="1" s="1"/>
  <c r="R101" i="1" s="1"/>
  <c r="M38" i="1"/>
  <c r="N38" i="1" s="1"/>
  <c r="R38" i="1" s="1"/>
  <c r="M821" i="1"/>
  <c r="N821" i="1" s="1"/>
  <c r="R821" i="1" s="1"/>
  <c r="M1040" i="1"/>
  <c r="N1040" i="1" s="1"/>
  <c r="R1040" i="1" s="1"/>
  <c r="M914" i="1"/>
  <c r="N914" i="1" s="1"/>
  <c r="R914" i="1" s="1"/>
  <c r="M125" i="1"/>
  <c r="N125" i="1" s="1"/>
  <c r="R125" i="1" s="1"/>
  <c r="M192" i="1"/>
  <c r="N192" i="1" s="1"/>
  <c r="R192" i="1" s="1"/>
  <c r="M37" i="1"/>
  <c r="N37" i="1" s="1"/>
  <c r="R37" i="1" s="1"/>
  <c r="M54" i="1"/>
  <c r="N54" i="1" s="1"/>
  <c r="R54" i="1" s="1"/>
  <c r="M411" i="1"/>
  <c r="N411" i="1" s="1"/>
  <c r="R411" i="1" s="1"/>
  <c r="M164" i="1"/>
  <c r="N164" i="1" s="1"/>
  <c r="R164" i="1" s="1"/>
  <c r="M8" i="1"/>
  <c r="N8" i="1" s="1"/>
  <c r="R8" i="1" s="1"/>
  <c r="M230" i="1"/>
  <c r="N230" i="1" s="1"/>
  <c r="R230" i="1" s="1"/>
  <c r="M556" i="1"/>
  <c r="N556" i="1" s="1"/>
  <c r="R556" i="1" s="1"/>
  <c r="M416" i="1"/>
  <c r="N416" i="1" s="1"/>
  <c r="R416" i="1" s="1"/>
  <c r="M829" i="1"/>
  <c r="N829" i="1" s="1"/>
  <c r="R829" i="1" s="1"/>
  <c r="M1101" i="1"/>
  <c r="N1101" i="1" s="1"/>
  <c r="R1101" i="1" s="1"/>
  <c r="M442" i="1"/>
  <c r="N442" i="1" s="1"/>
  <c r="R442" i="1" s="1"/>
  <c r="M250" i="1"/>
  <c r="N250" i="1" s="1"/>
  <c r="R250" i="1" s="1"/>
  <c r="M318" i="1"/>
  <c r="N318" i="1" s="1"/>
  <c r="R318" i="1" s="1"/>
  <c r="M138" i="1"/>
  <c r="N138" i="1" s="1"/>
  <c r="R138" i="1" s="1"/>
  <c r="M520" i="1"/>
  <c r="N520" i="1" s="1"/>
  <c r="R520" i="1" s="1"/>
  <c r="M1048" i="1"/>
  <c r="N1048" i="1" s="1"/>
  <c r="R1048" i="1" s="1"/>
  <c r="S48" i="1" s="1"/>
  <c r="M1105" i="1"/>
  <c r="N1105" i="1" s="1"/>
  <c r="R1105" i="1" s="1"/>
  <c r="M809" i="1"/>
  <c r="N809" i="1" s="1"/>
  <c r="R809" i="1" s="1"/>
  <c r="M728" i="1"/>
  <c r="N728" i="1" s="1"/>
  <c r="R728" i="1" s="1"/>
  <c r="M1084" i="1"/>
  <c r="N1084" i="1" s="1"/>
  <c r="R1084" i="1" s="1"/>
  <c r="M922" i="1"/>
  <c r="N922" i="1" s="1"/>
  <c r="R922" i="1" s="1"/>
  <c r="M841" i="1"/>
  <c r="N841" i="1" s="1"/>
  <c r="R841" i="1" s="1"/>
  <c r="M1174" i="1"/>
  <c r="N1174" i="1" s="1"/>
  <c r="R1174" i="1" s="1"/>
  <c r="R450" i="1"/>
  <c r="R797" i="1"/>
  <c r="R996" i="1"/>
  <c r="M362" i="1"/>
  <c r="N362" i="1" s="1"/>
  <c r="R362" i="1" s="1"/>
  <c r="M21" i="1"/>
  <c r="N21" i="1" s="1"/>
  <c r="R21" i="1" s="1"/>
  <c r="M174" i="1"/>
  <c r="N174" i="1" s="1"/>
  <c r="R174" i="1" s="1"/>
  <c r="M739" i="1"/>
  <c r="N739" i="1" s="1"/>
  <c r="R739" i="1" s="1"/>
  <c r="M275" i="1"/>
  <c r="N275" i="1" s="1"/>
  <c r="R275" i="1" s="1"/>
  <c r="M119" i="1"/>
  <c r="N119" i="1" s="1"/>
  <c r="R119" i="1" s="1"/>
  <c r="M128" i="1"/>
  <c r="N128" i="1" s="1"/>
  <c r="R128" i="1" s="1"/>
  <c r="M88" i="1"/>
  <c r="N88" i="1" s="1"/>
  <c r="R88" i="1" s="1"/>
  <c r="M297" i="1"/>
  <c r="N297" i="1" s="1"/>
  <c r="R297" i="1" s="1"/>
  <c r="M75" i="1"/>
  <c r="N75" i="1" s="1"/>
  <c r="R75" i="1" s="1"/>
  <c r="M339" i="1"/>
  <c r="N339" i="1" s="1"/>
  <c r="R339" i="1" s="1"/>
  <c r="M696" i="1"/>
  <c r="N696" i="1" s="1"/>
  <c r="R696" i="1" s="1"/>
  <c r="M566" i="1"/>
  <c r="N566" i="1" s="1"/>
  <c r="R566" i="1" s="1"/>
  <c r="M921" i="1"/>
  <c r="N921" i="1" s="1"/>
  <c r="R921" i="1" s="1"/>
  <c r="M500" i="1"/>
  <c r="N500" i="1" s="1"/>
  <c r="R500" i="1" s="1"/>
  <c r="M608" i="1"/>
  <c r="N608" i="1" s="1"/>
  <c r="R608" i="1" s="1"/>
  <c r="M386" i="1"/>
  <c r="N386" i="1" s="1"/>
  <c r="R386" i="1" s="1"/>
  <c r="M494" i="1"/>
  <c r="N494" i="1" s="1"/>
  <c r="R494" i="1" s="1"/>
  <c r="M252" i="1"/>
  <c r="N252" i="1" s="1"/>
  <c r="R252" i="1" s="1"/>
  <c r="M660" i="1"/>
  <c r="N660" i="1" s="1"/>
  <c r="R660" i="1" s="1"/>
  <c r="M89" i="1"/>
  <c r="N89" i="1" s="1"/>
  <c r="R89" i="1" s="1"/>
  <c r="M430" i="1"/>
  <c r="N430" i="1" s="1"/>
  <c r="R430" i="1" s="1"/>
  <c r="M1102" i="1"/>
  <c r="N1102" i="1" s="1"/>
  <c r="M281" i="1"/>
  <c r="N281" i="1" s="1"/>
  <c r="R281" i="1" s="1"/>
  <c r="M567" i="1"/>
  <c r="N567" i="1" s="1"/>
  <c r="R567" i="1" s="1"/>
  <c r="M1022" i="1"/>
  <c r="N1022" i="1" s="1"/>
  <c r="R1022" i="1" s="1"/>
  <c r="M874" i="1"/>
  <c r="N874" i="1" s="1"/>
  <c r="R874" i="1" s="1"/>
  <c r="R11" i="1"/>
  <c r="S3" i="1" s="1"/>
  <c r="R584" i="1"/>
  <c r="R716" i="1"/>
  <c r="M29" i="1"/>
  <c r="N29" i="1" s="1"/>
  <c r="R29" i="1" s="1"/>
  <c r="M222" i="1"/>
  <c r="N222" i="1" s="1"/>
  <c r="R222" i="1" s="1"/>
  <c r="M403" i="1"/>
  <c r="N403" i="1" s="1"/>
  <c r="R403" i="1" s="1"/>
  <c r="M495" i="1"/>
  <c r="N495" i="1" s="1"/>
  <c r="R495" i="1" s="1"/>
  <c r="M824" i="1"/>
  <c r="N824" i="1" s="1"/>
  <c r="R824" i="1" s="1"/>
  <c r="R884" i="1"/>
  <c r="M474" i="1"/>
  <c r="N474" i="1" s="1"/>
  <c r="R474" i="1" s="1"/>
  <c r="M191" i="1"/>
  <c r="N191" i="1" s="1"/>
  <c r="R191" i="1" s="1"/>
  <c r="M27" i="1"/>
  <c r="N27" i="1" s="1"/>
  <c r="R27" i="1" s="1"/>
  <c r="S5" i="1" s="1"/>
  <c r="M283" i="1"/>
  <c r="N283" i="1" s="1"/>
  <c r="R283" i="1" s="1"/>
  <c r="S16" i="1" s="1"/>
  <c r="M127" i="1"/>
  <c r="N127" i="1" s="1"/>
  <c r="R127" i="1" s="1"/>
  <c r="M153" i="1"/>
  <c r="N153" i="1" s="1"/>
  <c r="R153" i="1" s="1"/>
  <c r="M105" i="1"/>
  <c r="N105" i="1" s="1"/>
  <c r="R105" i="1" s="1"/>
  <c r="M313" i="1"/>
  <c r="N313" i="1" s="1"/>
  <c r="R313" i="1" s="1"/>
  <c r="M100" i="1"/>
  <c r="N100" i="1" s="1"/>
  <c r="R100" i="1" s="1"/>
  <c r="M366" i="1"/>
  <c r="N366" i="1" s="1"/>
  <c r="R366" i="1" s="1"/>
  <c r="M704" i="1"/>
  <c r="N704" i="1" s="1"/>
  <c r="R704" i="1" s="1"/>
  <c r="M599" i="1"/>
  <c r="N599" i="1" s="1"/>
  <c r="R599" i="1" s="1"/>
  <c r="M930" i="1"/>
  <c r="N930" i="1" s="1"/>
  <c r="R930" i="1" s="1"/>
  <c r="M2" i="1"/>
  <c r="N2" i="1" s="1"/>
  <c r="R2" i="1" s="1"/>
  <c r="M641" i="1"/>
  <c r="N641" i="1" s="1"/>
  <c r="R641" i="1" s="1"/>
  <c r="M418" i="1"/>
  <c r="N418" i="1" s="1"/>
  <c r="R418" i="1" s="1"/>
  <c r="M519" i="1"/>
  <c r="N519" i="1" s="1"/>
  <c r="R519" i="1" s="1"/>
  <c r="M261" i="1"/>
  <c r="N261" i="1" s="1"/>
  <c r="R261" i="1" s="1"/>
  <c r="M784" i="1"/>
  <c r="N784" i="1" s="1"/>
  <c r="R784" i="1" s="1"/>
  <c r="M179" i="1"/>
  <c r="N179" i="1" s="1"/>
  <c r="R179" i="1" s="1"/>
  <c r="M512" i="1"/>
  <c r="N512" i="1" s="1"/>
  <c r="R512" i="1" s="1"/>
  <c r="S26" i="1" s="1"/>
  <c r="M338" i="1"/>
  <c r="N338" i="1" s="1"/>
  <c r="R338" i="1" s="1"/>
  <c r="M614" i="1"/>
  <c r="N614" i="1" s="1"/>
  <c r="R614" i="1" s="1"/>
  <c r="M690" i="1"/>
  <c r="N690" i="1" s="1"/>
  <c r="R690" i="1" s="1"/>
  <c r="S32" i="1" s="1"/>
  <c r="M1078" i="1"/>
  <c r="N1078" i="1" s="1"/>
  <c r="R1078" i="1" s="1"/>
  <c r="M1072" i="1"/>
  <c r="N1072" i="1" s="1"/>
  <c r="R1072" i="1" s="1"/>
  <c r="M1017" i="1"/>
  <c r="N1017" i="1" s="1"/>
  <c r="R1017" i="1" s="1"/>
  <c r="M548" i="1"/>
  <c r="N548" i="1" s="1"/>
  <c r="R548" i="1" s="1"/>
  <c r="M785" i="1"/>
  <c r="N785" i="1" s="1"/>
  <c r="R785" i="1" s="1"/>
  <c r="M9" i="1"/>
  <c r="N9" i="1" s="1"/>
  <c r="R9" i="1" s="1"/>
  <c r="M207" i="1"/>
  <c r="N207" i="1" s="1"/>
  <c r="R207" i="1" s="1"/>
  <c r="M36" i="1"/>
  <c r="N36" i="1" s="1"/>
  <c r="R36" i="1" s="1"/>
  <c r="M349" i="1"/>
  <c r="N349" i="1" s="1"/>
  <c r="R349" i="1" s="1"/>
  <c r="S18" i="1" s="1"/>
  <c r="M136" i="1"/>
  <c r="N136" i="1" s="1"/>
  <c r="R136" i="1" s="1"/>
  <c r="M185" i="1"/>
  <c r="N185" i="1" s="1"/>
  <c r="R185" i="1" s="1"/>
  <c r="M129" i="1"/>
  <c r="N129" i="1" s="1"/>
  <c r="R129" i="1" s="1"/>
  <c r="M390" i="1"/>
  <c r="N390" i="1" s="1"/>
  <c r="R390" i="1" s="1"/>
  <c r="M108" i="1"/>
  <c r="N108" i="1" s="1"/>
  <c r="R108" i="1" s="1"/>
  <c r="M399" i="1"/>
  <c r="N399" i="1" s="1"/>
  <c r="R399" i="1" s="1"/>
  <c r="M712" i="1"/>
  <c r="N712" i="1" s="1"/>
  <c r="R712" i="1" s="1"/>
  <c r="M615" i="1"/>
  <c r="N615" i="1" s="1"/>
  <c r="R615" i="1" s="1"/>
  <c r="M954" i="1"/>
  <c r="N954" i="1" s="1"/>
  <c r="R954" i="1" s="1"/>
  <c r="M52" i="1"/>
  <c r="N52" i="1" s="1"/>
  <c r="R52" i="1" s="1"/>
  <c r="M665" i="1"/>
  <c r="N665" i="1" s="1"/>
  <c r="R665" i="1" s="1"/>
  <c r="M435" i="1"/>
  <c r="N435" i="1" s="1"/>
  <c r="R435" i="1" s="1"/>
  <c r="M527" i="1"/>
  <c r="N527" i="1" s="1"/>
  <c r="R527" i="1" s="1"/>
  <c r="S27" i="1" s="1"/>
  <c r="M270" i="1"/>
  <c r="N270" i="1" s="1"/>
  <c r="R270" i="1" s="1"/>
  <c r="M792" i="1"/>
  <c r="N792" i="1" s="1"/>
  <c r="R792" i="1" s="1"/>
  <c r="M188" i="1"/>
  <c r="N188" i="1" s="1"/>
  <c r="R188" i="1" s="1"/>
  <c r="M530" i="1"/>
  <c r="N530" i="1" s="1"/>
  <c r="R530" i="1" s="1"/>
  <c r="M381" i="1"/>
  <c r="N381" i="1" s="1"/>
  <c r="R381" i="1" s="1"/>
  <c r="M705" i="1"/>
  <c r="N705" i="1" s="1"/>
  <c r="R705" i="1" s="1"/>
  <c r="M699" i="1"/>
  <c r="N699" i="1" s="1"/>
  <c r="R699" i="1" s="1"/>
  <c r="M1079" i="1"/>
  <c r="N1079" i="1" s="1"/>
  <c r="R1079" i="1" s="1"/>
  <c r="M1041" i="1"/>
  <c r="N1041" i="1" s="1"/>
  <c r="R1041" i="1" s="1"/>
  <c r="R903" i="1"/>
  <c r="R713" i="1"/>
  <c r="M408" i="1"/>
  <c r="N408" i="1" s="1"/>
  <c r="R408" i="1" s="1"/>
  <c r="M387" i="1"/>
  <c r="N387" i="1" s="1"/>
  <c r="R387" i="1" s="1"/>
  <c r="M1085" i="1"/>
  <c r="N1085" i="1" s="1"/>
  <c r="R1085" i="1" s="1"/>
  <c r="M767" i="1"/>
  <c r="N767" i="1" s="1"/>
  <c r="R767" i="1" s="1"/>
  <c r="M1067" i="1"/>
  <c r="N1067" i="1" s="1"/>
  <c r="R1067" i="1" s="1"/>
  <c r="M1150" i="1"/>
  <c r="N1150" i="1" s="1"/>
  <c r="R1150" i="1" s="1"/>
  <c r="M18" i="1"/>
  <c r="N18" i="1" s="1"/>
  <c r="R18" i="1" s="1"/>
  <c r="M215" i="1"/>
  <c r="N215" i="1" s="1"/>
  <c r="R215" i="1" s="1"/>
  <c r="M44" i="1"/>
  <c r="N44" i="1" s="1"/>
  <c r="R44" i="1" s="1"/>
  <c r="M459" i="1"/>
  <c r="N459" i="1" s="1"/>
  <c r="R459" i="1" s="1"/>
  <c r="M168" i="1"/>
  <c r="N168" i="1" s="1"/>
  <c r="R168" i="1" s="1"/>
  <c r="M194" i="1"/>
  <c r="N194" i="1" s="1"/>
  <c r="R194" i="1" s="1"/>
  <c r="M24" i="1"/>
  <c r="N24" i="1" s="1"/>
  <c r="R24" i="1" s="1"/>
  <c r="M431" i="1"/>
  <c r="N431" i="1" s="1"/>
  <c r="R431" i="1" s="1"/>
  <c r="M116" i="1"/>
  <c r="N116" i="1" s="1"/>
  <c r="R116" i="1" s="1"/>
  <c r="M424" i="1"/>
  <c r="N424" i="1" s="1"/>
  <c r="R424" i="1" s="1"/>
  <c r="M729" i="1"/>
  <c r="N729" i="1" s="1"/>
  <c r="R729" i="1" s="1"/>
  <c r="S36" i="1" s="1"/>
  <c r="M623" i="1"/>
  <c r="N623" i="1" s="1"/>
  <c r="R623" i="1" s="1"/>
  <c r="M987" i="1"/>
  <c r="N987" i="1" s="1"/>
  <c r="R987" i="1" s="1"/>
  <c r="M69" i="1"/>
  <c r="N69" i="1" s="1"/>
  <c r="R69" i="1" s="1"/>
  <c r="M689" i="1"/>
  <c r="N689" i="1" s="1"/>
  <c r="R689" i="1" s="1"/>
  <c r="M443" i="1"/>
  <c r="N443" i="1" s="1"/>
  <c r="R443" i="1" s="1"/>
  <c r="M536" i="1"/>
  <c r="N536" i="1" s="1"/>
  <c r="R536" i="1" s="1"/>
  <c r="M311" i="1"/>
  <c r="N311" i="1" s="1"/>
  <c r="R311" i="1" s="1"/>
  <c r="M800" i="1"/>
  <c r="N800" i="1" s="1"/>
  <c r="R800" i="1" s="1"/>
  <c r="M212" i="1"/>
  <c r="N212" i="1" s="1"/>
  <c r="R212" i="1" s="1"/>
  <c r="M554" i="1"/>
  <c r="N554" i="1" s="1"/>
  <c r="R554" i="1" s="1"/>
  <c r="M398" i="1"/>
  <c r="N398" i="1" s="1"/>
  <c r="R398" i="1" s="1"/>
  <c r="M746" i="1"/>
  <c r="N746" i="1" s="1"/>
  <c r="R746" i="1" s="1"/>
  <c r="M707" i="1"/>
  <c r="N707" i="1" s="1"/>
  <c r="R707" i="1" s="1"/>
  <c r="M1110" i="1"/>
  <c r="N1110" i="1" s="1"/>
  <c r="R1110" i="1" s="1"/>
  <c r="M1074" i="1"/>
  <c r="N1074" i="1" s="1"/>
  <c r="R1074" i="1" s="1"/>
  <c r="R777" i="1"/>
  <c r="M167" i="1"/>
  <c r="N167" i="1" s="1"/>
  <c r="R167" i="1" s="1"/>
  <c r="M140" i="1"/>
  <c r="N140" i="1" s="1"/>
  <c r="R140" i="1" s="1"/>
  <c r="M409" i="1"/>
  <c r="N409" i="1" s="1"/>
  <c r="R409" i="1" s="1"/>
  <c r="M97" i="1"/>
  <c r="N97" i="1" s="1"/>
  <c r="R97" i="1" s="1"/>
  <c r="M711" i="1"/>
  <c r="N711" i="1" s="1"/>
  <c r="R711" i="1" s="1"/>
  <c r="M84" i="1"/>
  <c r="N84" i="1" s="1"/>
  <c r="R84" i="1" s="1"/>
  <c r="M340" i="1"/>
  <c r="N340" i="1" s="1"/>
  <c r="R340" i="1" s="1"/>
  <c r="M151" i="1"/>
  <c r="N151" i="1" s="1"/>
  <c r="R151" i="1" s="1"/>
  <c r="M748" i="1"/>
  <c r="N748" i="1" s="1"/>
  <c r="R748" i="1" s="1"/>
  <c r="M4" i="1"/>
  <c r="N4" i="1" s="1"/>
  <c r="R4" i="1" s="1"/>
  <c r="M302" i="1"/>
  <c r="N302" i="1" s="1"/>
  <c r="R302" i="1" s="1"/>
  <c r="M99" i="1"/>
  <c r="N99" i="1" s="1"/>
  <c r="R99" i="1" s="1"/>
  <c r="M109" i="1"/>
  <c r="N109" i="1" s="1"/>
  <c r="R109" i="1" s="1"/>
  <c r="M206" i="1"/>
  <c r="N206" i="1" s="1"/>
  <c r="R206" i="1" s="1"/>
  <c r="M498" i="1"/>
  <c r="N498" i="1" s="1"/>
  <c r="R498" i="1" s="1"/>
  <c r="M299" i="1"/>
  <c r="N299" i="1" s="1"/>
  <c r="R299" i="1" s="1"/>
  <c r="M788" i="1"/>
  <c r="N788" i="1" s="1"/>
  <c r="R788" i="1" s="1"/>
  <c r="M1061" i="1"/>
  <c r="N1061" i="1" s="1"/>
  <c r="R1061" i="1" s="1"/>
  <c r="M360" i="1"/>
  <c r="N360" i="1" s="1"/>
  <c r="R360" i="1" s="1"/>
  <c r="M161" i="1"/>
  <c r="N161" i="1" s="1"/>
  <c r="R161" i="1" s="1"/>
  <c r="M559" i="1"/>
  <c r="N559" i="1" s="1"/>
  <c r="R559" i="1" s="1"/>
  <c r="M643" i="1"/>
  <c r="N643" i="1" s="1"/>
  <c r="R643" i="1" s="1"/>
  <c r="M445" i="1"/>
  <c r="N445" i="1" s="1"/>
  <c r="R445" i="1" s="1"/>
  <c r="M950" i="1"/>
  <c r="N950" i="1" s="1"/>
  <c r="R950" i="1" s="1"/>
  <c r="M770" i="1"/>
  <c r="N770" i="1" s="1"/>
  <c r="R770" i="1" s="1"/>
  <c r="M677" i="1"/>
  <c r="N677" i="1" s="1"/>
  <c r="R677" i="1" s="1"/>
  <c r="M597" i="1"/>
  <c r="N597" i="1" s="1"/>
  <c r="R597" i="1" s="1"/>
  <c r="M929" i="1"/>
  <c r="N929" i="1" s="1"/>
  <c r="R929" i="1" s="1"/>
  <c r="M848" i="1"/>
  <c r="N848" i="1" s="1"/>
  <c r="R848" i="1" s="1"/>
  <c r="M1106" i="1"/>
  <c r="N1106" i="1" s="1"/>
  <c r="R1106" i="1" s="1"/>
  <c r="R1032" i="1"/>
  <c r="R379" i="1"/>
  <c r="R1102" i="1"/>
  <c r="R926" i="1"/>
  <c r="R927" i="1"/>
  <c r="S45" i="1" s="1"/>
  <c r="R1125" i="1"/>
  <c r="R1153" i="1"/>
  <c r="R1173" i="1"/>
  <c r="R497" i="1"/>
  <c r="R802" i="1"/>
  <c r="R1012" i="1"/>
  <c r="R661" i="1"/>
  <c r="R587" i="1"/>
  <c r="R779" i="1"/>
  <c r="R833" i="1"/>
  <c r="R254" i="1"/>
  <c r="R76" i="1"/>
  <c r="R16" i="1"/>
  <c r="S4" i="1" s="1"/>
  <c r="R609" i="1"/>
  <c r="R86" i="1"/>
  <c r="R467" i="1"/>
  <c r="R889" i="1"/>
  <c r="R1095" i="1"/>
  <c r="R347" i="1"/>
  <c r="R879" i="1"/>
  <c r="R1060" i="1"/>
  <c r="R479" i="1"/>
  <c r="R540" i="1"/>
  <c r="R1134" i="1"/>
  <c r="R830" i="1"/>
  <c r="R1169" i="1"/>
  <c r="R542" i="1"/>
  <c r="R649" i="1"/>
  <c r="M1171" i="1"/>
  <c r="N1171" i="1" s="1"/>
  <c r="R1171" i="1" s="1"/>
  <c r="M1155" i="1"/>
  <c r="N1155" i="1" s="1"/>
  <c r="R1155" i="1" s="1"/>
  <c r="M1166" i="1"/>
  <c r="N1166" i="1" s="1"/>
  <c r="R1166" i="1" s="1"/>
  <c r="M1099" i="1"/>
  <c r="N1099" i="1" s="1"/>
  <c r="R1099" i="1" s="1"/>
  <c r="M1083" i="1"/>
  <c r="N1083" i="1" s="1"/>
  <c r="R1083" i="1" s="1"/>
  <c r="M1018" i="1"/>
  <c r="N1018" i="1" s="1"/>
  <c r="R1018" i="1" s="1"/>
  <c r="M952" i="1"/>
  <c r="N952" i="1" s="1"/>
  <c r="R952" i="1" s="1"/>
  <c r="M886" i="1"/>
  <c r="N886" i="1" s="1"/>
  <c r="R886" i="1" s="1"/>
  <c r="M1165" i="1"/>
  <c r="N1165" i="1" s="1"/>
  <c r="R1165" i="1" s="1"/>
  <c r="M1098" i="1"/>
  <c r="N1098" i="1" s="1"/>
  <c r="R1098" i="1" s="1"/>
  <c r="M1033" i="1"/>
  <c r="N1033" i="1" s="1"/>
  <c r="R1033" i="1" s="1"/>
  <c r="M968" i="1"/>
  <c r="N968" i="1" s="1"/>
  <c r="R968" i="1" s="1"/>
  <c r="M1096" i="1"/>
  <c r="N1096" i="1" s="1"/>
  <c r="R1096" i="1" s="1"/>
  <c r="M1031" i="1"/>
  <c r="N1031" i="1" s="1"/>
  <c r="R1031" i="1" s="1"/>
  <c r="M966" i="1"/>
  <c r="N966" i="1" s="1"/>
  <c r="R966" i="1" s="1"/>
  <c r="M900" i="1"/>
  <c r="N900" i="1" s="1"/>
  <c r="R900" i="1" s="1"/>
  <c r="M832" i="1"/>
  <c r="N832" i="1" s="1"/>
  <c r="R832" i="1" s="1"/>
  <c r="M766" i="1"/>
  <c r="N766" i="1" s="1"/>
  <c r="R766" i="1" s="1"/>
  <c r="M667" i="1"/>
  <c r="N667" i="1" s="1"/>
  <c r="R667" i="1" s="1"/>
  <c r="M1161" i="1"/>
  <c r="N1161" i="1" s="1"/>
  <c r="R1161" i="1" s="1"/>
  <c r="M1120" i="1"/>
  <c r="N1120" i="1" s="1"/>
  <c r="R1120" i="1" s="1"/>
  <c r="M1086" i="1"/>
  <c r="N1086" i="1" s="1"/>
  <c r="R1086" i="1" s="1"/>
  <c r="M1046" i="1"/>
  <c r="N1046" i="1" s="1"/>
  <c r="R1046" i="1" s="1"/>
  <c r="M1013" i="1"/>
  <c r="N1013" i="1" s="1"/>
  <c r="R1013" i="1" s="1"/>
  <c r="M973" i="1"/>
  <c r="N973" i="1" s="1"/>
  <c r="R973" i="1" s="1"/>
  <c r="M932" i="1"/>
  <c r="N932" i="1" s="1"/>
  <c r="R932" i="1" s="1"/>
  <c r="M898" i="1"/>
  <c r="N898" i="1" s="1"/>
  <c r="R898" i="1" s="1"/>
  <c r="M856" i="1"/>
  <c r="N856" i="1" s="1"/>
  <c r="R856" i="1" s="1"/>
  <c r="M822" i="1"/>
  <c r="N822" i="1" s="1"/>
  <c r="R822" i="1" s="1"/>
  <c r="M782" i="1"/>
  <c r="N782" i="1" s="1"/>
  <c r="R782" i="1" s="1"/>
  <c r="M724" i="1"/>
  <c r="N724" i="1" s="1"/>
  <c r="R724" i="1" s="1"/>
  <c r="M658" i="1"/>
  <c r="N658" i="1" s="1"/>
  <c r="R658" i="1" s="1"/>
  <c r="M551" i="1"/>
  <c r="N551" i="1" s="1"/>
  <c r="R551" i="1" s="1"/>
  <c r="M939" i="1"/>
  <c r="N939" i="1" s="1"/>
  <c r="R939" i="1" s="1"/>
  <c r="M1135" i="1"/>
  <c r="N1135" i="1" s="1"/>
  <c r="R1135" i="1" s="1"/>
  <c r="M1068" i="1"/>
  <c r="N1068" i="1" s="1"/>
  <c r="R1068" i="1" s="1"/>
  <c r="M1002" i="1"/>
  <c r="N1002" i="1" s="1"/>
  <c r="R1002" i="1" s="1"/>
  <c r="M937" i="1"/>
  <c r="N937" i="1" s="1"/>
  <c r="R937" i="1" s="1"/>
  <c r="M870" i="1"/>
  <c r="N870" i="1" s="1"/>
  <c r="R870" i="1" s="1"/>
  <c r="M803" i="1"/>
  <c r="N803" i="1" s="1"/>
  <c r="R803" i="1" s="1"/>
  <c r="M664" i="1"/>
  <c r="N664" i="1" s="1"/>
  <c r="R664" i="1" s="1"/>
  <c r="M425" i="1"/>
  <c r="N425" i="1" s="1"/>
  <c r="R425" i="1" s="1"/>
  <c r="M273" i="1"/>
  <c r="N273" i="1" s="1"/>
  <c r="R273" i="1" s="1"/>
  <c r="M827" i="1"/>
  <c r="N827" i="1" s="1"/>
  <c r="R827" i="1" s="1"/>
  <c r="M761" i="1"/>
  <c r="N761" i="1" s="1"/>
  <c r="R761" i="1" s="1"/>
  <c r="M695" i="1"/>
  <c r="N695" i="1" s="1"/>
  <c r="R695" i="1" s="1"/>
  <c r="M629" i="1"/>
  <c r="N629" i="1" s="1"/>
  <c r="R629" i="1" s="1"/>
  <c r="M555" i="1"/>
  <c r="N555" i="1" s="1"/>
  <c r="R555" i="1" s="1"/>
  <c r="M488" i="1"/>
  <c r="N488" i="1" s="1"/>
  <c r="R488" i="1" s="1"/>
  <c r="M414" i="1"/>
  <c r="N414" i="1" s="1"/>
  <c r="R414" i="1" s="1"/>
  <c r="M289" i="1"/>
  <c r="N289" i="1" s="1"/>
  <c r="R289" i="1" s="1"/>
  <c r="M107" i="1"/>
  <c r="N107" i="1" s="1"/>
  <c r="R107" i="1" s="1"/>
  <c r="M902" i="1"/>
  <c r="N902" i="1" s="1"/>
  <c r="R902" i="1" s="1"/>
  <c r="M834" i="1"/>
  <c r="N834" i="1" s="1"/>
  <c r="R834" i="1" s="1"/>
  <c r="M768" i="1"/>
  <c r="N768" i="1" s="1"/>
  <c r="R768" i="1" s="1"/>
  <c r="M702" i="1"/>
  <c r="N702" i="1" s="1"/>
  <c r="R702" i="1" s="1"/>
  <c r="M637" i="1"/>
  <c r="N637" i="1" s="1"/>
  <c r="R637" i="1" s="1"/>
  <c r="M571" i="1"/>
  <c r="N571" i="1" s="1"/>
  <c r="R571" i="1" s="1"/>
  <c r="M504" i="1"/>
  <c r="N504" i="1" s="1"/>
  <c r="R504" i="1" s="1"/>
  <c r="M438" i="1"/>
  <c r="N438" i="1" s="1"/>
  <c r="R438" i="1" s="1"/>
  <c r="M372" i="1"/>
  <c r="N372" i="1" s="1"/>
  <c r="R372" i="1" s="1"/>
  <c r="M1140" i="1"/>
  <c r="N1140" i="1" s="1"/>
  <c r="R1140" i="1" s="1"/>
  <c r="M701" i="1"/>
  <c r="N701" i="1" s="1"/>
  <c r="R701" i="1" s="1"/>
  <c r="M1037" i="1"/>
  <c r="N1037" i="1" s="1"/>
  <c r="R1037" i="1" s="1"/>
  <c r="M304" i="1"/>
  <c r="N304" i="1" s="1"/>
  <c r="R304" i="1" s="1"/>
  <c r="M236" i="1"/>
  <c r="N236" i="1" s="1"/>
  <c r="R236" i="1" s="1"/>
  <c r="M171" i="1"/>
  <c r="N171" i="1" s="1"/>
  <c r="R171" i="1" s="1"/>
  <c r="M106" i="1"/>
  <c r="N106" i="1" s="1"/>
  <c r="R106" i="1" s="1"/>
  <c r="M40" i="1"/>
  <c r="N40" i="1" s="1"/>
  <c r="R40" i="1" s="1"/>
  <c r="M1073" i="1"/>
  <c r="N1073" i="1" s="1"/>
  <c r="R1073" i="1" s="1"/>
  <c r="M1008" i="1"/>
  <c r="N1008" i="1" s="1"/>
  <c r="R1008" i="1" s="1"/>
  <c r="M942" i="1"/>
  <c r="N942" i="1" s="1"/>
  <c r="R942" i="1" s="1"/>
  <c r="M875" i="1"/>
  <c r="N875" i="1" s="1"/>
  <c r="R875" i="1" s="1"/>
  <c r="S42" i="1" s="1"/>
  <c r="M808" i="1"/>
  <c r="N808" i="1" s="1"/>
  <c r="R808" i="1" s="1"/>
  <c r="M709" i="1"/>
  <c r="N709" i="1" s="1"/>
  <c r="R709" i="1" s="1"/>
  <c r="S33" i="1" s="1"/>
  <c r="M627" i="1"/>
  <c r="N627" i="1" s="1"/>
  <c r="R627" i="1" s="1"/>
  <c r="M561" i="1"/>
  <c r="N561" i="1" s="1"/>
  <c r="R561" i="1" s="1"/>
  <c r="M470" i="1"/>
  <c r="N470" i="1" s="1"/>
  <c r="R470" i="1" s="1"/>
  <c r="M1158" i="1"/>
  <c r="N1158" i="1" s="1"/>
  <c r="R1158" i="1" s="1"/>
  <c r="R550" i="1"/>
  <c r="M1163" i="1"/>
  <c r="N1163" i="1" s="1"/>
  <c r="R1163" i="1" s="1"/>
  <c r="M1177" i="1"/>
  <c r="N1177" i="1" s="1"/>
  <c r="R1177" i="1" s="1"/>
  <c r="M184" i="1"/>
  <c r="N184" i="1" s="1"/>
  <c r="R184" i="1" s="1"/>
  <c r="M377" i="1"/>
  <c r="N377" i="1" s="1"/>
  <c r="R377" i="1" s="1"/>
  <c r="M428" i="1"/>
  <c r="N428" i="1" s="1"/>
  <c r="R428" i="1" s="1"/>
  <c r="M71" i="1"/>
  <c r="N71" i="1" s="1"/>
  <c r="R71" i="1" s="1"/>
  <c r="M226" i="1"/>
  <c r="N226" i="1" s="1"/>
  <c r="R226" i="1" s="1"/>
  <c r="M316" i="1"/>
  <c r="N316" i="1" s="1"/>
  <c r="R316" i="1" s="1"/>
  <c r="M1005" i="1"/>
  <c r="N1005" i="1" s="1"/>
  <c r="R1005" i="1" s="1"/>
  <c r="M726" i="1"/>
  <c r="N726" i="1" s="1"/>
  <c r="R726" i="1" s="1"/>
  <c r="M1130" i="1"/>
  <c r="N1130" i="1" s="1"/>
  <c r="R1130" i="1" s="1"/>
  <c r="M1139" i="1"/>
  <c r="N1139" i="1" s="1"/>
  <c r="R1139" i="1" s="1"/>
  <c r="M1147" i="1"/>
  <c r="N1147" i="1" s="1"/>
  <c r="R1147" i="1" s="1"/>
  <c r="T20" i="1" l="1"/>
  <c r="T44" i="1"/>
  <c r="T30" i="1"/>
  <c r="T31" i="1"/>
  <c r="T3" i="1"/>
  <c r="T19" i="1"/>
  <c r="T21" i="1"/>
  <c r="T15" i="1"/>
  <c r="U4" i="1" s="1"/>
  <c r="T35" i="1"/>
  <c r="U8" i="1" s="1"/>
  <c r="T49" i="1"/>
  <c r="U11" i="1" s="1"/>
  <c r="T9" i="1"/>
  <c r="T23" i="1"/>
  <c r="T39" i="1"/>
  <c r="T26" i="1"/>
  <c r="U6" i="1" s="1"/>
  <c r="T8" i="1"/>
  <c r="T46" i="1"/>
  <c r="T36" i="1"/>
  <c r="T34" i="1"/>
  <c r="T18" i="1"/>
  <c r="T33" i="1"/>
  <c r="T17" i="1"/>
  <c r="T45" i="1"/>
  <c r="T43" i="1"/>
  <c r="U10" i="1" s="1"/>
  <c r="T10" i="1"/>
  <c r="U3" i="1" s="1"/>
  <c r="T40" i="1"/>
  <c r="U9" i="1" s="1"/>
  <c r="T42" i="1"/>
  <c r="T22" i="1"/>
  <c r="T32" i="1"/>
  <c r="U7" i="1" s="1"/>
  <c r="T2" i="1"/>
  <c r="T24" i="1"/>
  <c r="U5" i="1" s="1"/>
  <c r="T14" i="1"/>
  <c r="T27" i="1"/>
  <c r="T4" i="1"/>
  <c r="U2" i="1" s="1"/>
  <c r="T38" i="1"/>
  <c r="T37" i="1"/>
  <c r="T11" i="1"/>
  <c r="T47" i="1"/>
  <c r="T48" i="1"/>
  <c r="T6" i="1"/>
  <c r="T7" i="1"/>
  <c r="T25" i="1"/>
  <c r="T5" i="1"/>
  <c r="T29" i="1"/>
  <c r="T13" i="1"/>
  <c r="T41" i="1"/>
  <c r="T16" i="1"/>
</calcChain>
</file>

<file path=xl/sharedStrings.xml><?xml version="1.0" encoding="utf-8"?>
<sst xmlns="http://schemas.openxmlformats.org/spreadsheetml/2006/main" count="86" uniqueCount="37">
  <si>
    <t>EYE BLINK VALUES</t>
  </si>
  <si>
    <t>MAX AMP OF POSITIVE</t>
  </si>
  <si>
    <t>MIN AMP</t>
  </si>
  <si>
    <t>5%MAX</t>
  </si>
  <si>
    <t>75%MAX</t>
  </si>
  <si>
    <t>5%MIN</t>
  </si>
  <si>
    <t>75%MIN</t>
  </si>
  <si>
    <t>SNO</t>
  </si>
  <si>
    <t>AMP</t>
  </si>
  <si>
    <t>POS</t>
  </si>
  <si>
    <t>POSITIVE</t>
  </si>
  <si>
    <t>MAX</t>
  </si>
  <si>
    <t>POSITION</t>
  </si>
  <si>
    <t>NEG</t>
  </si>
  <si>
    <t>MAX1</t>
  </si>
  <si>
    <t>AVERAGE POS</t>
  </si>
  <si>
    <t>AVERAGE NEG</t>
  </si>
  <si>
    <t>DUR POS</t>
  </si>
  <si>
    <t>DUR NEG</t>
  </si>
  <si>
    <t>COUNT</t>
  </si>
  <si>
    <t>ADDRESS</t>
  </si>
  <si>
    <t>SLOPE</t>
  </si>
  <si>
    <t>T&amp;PN</t>
  </si>
  <si>
    <t>DIFF</t>
  </si>
  <si>
    <t>FINAL SLOPE</t>
  </si>
  <si>
    <t>FINAL SLOPE 2</t>
  </si>
  <si>
    <t>1 Count</t>
  </si>
  <si>
    <t>2 Count</t>
  </si>
  <si>
    <t>Grand Count</t>
  </si>
  <si>
    <t>DURATION WITH BLANK</t>
  </si>
  <si>
    <t xml:space="preserve">DURATION </t>
  </si>
  <si>
    <t>AREA POS</t>
  </si>
  <si>
    <t>AREA NEG</t>
  </si>
  <si>
    <t>SLOPE ON</t>
  </si>
  <si>
    <t>SLOPE OFF</t>
  </si>
  <si>
    <t>ENERGY POS</t>
  </si>
  <si>
    <t>ENERGY OF NEG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</si>
</sst>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179"/>
  <sheetViews>
    <sheetView tabSelected="1" zoomScale="82" workbookViewId="0">
      <selection activeCell="A2" sqref="A2"/>
    </sheetView>
  </sheetViews>
  <sheetFormatPr defaultRowHeight="14.4" outlineLevelRow="2" x14ac:dyDescent="0.3"/>
  <cols>
    <col min="1" max="1" width="13.6640625" customWidth="1"/>
  </cols>
  <sheetData>
    <row r="1" spans="1:26" x14ac:dyDescent="0.3">
      <c r="A1" t="s">
        <v>0</v>
      </c>
      <c r="C1" t="s">
        <v>1</v>
      </c>
      <c r="F1" t="s">
        <v>2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12</v>
      </c>
      <c r="P1" t="s">
        <v>19</v>
      </c>
      <c r="Q1" t="s">
        <v>20</v>
      </c>
      <c r="R1" t="s">
        <v>21</v>
      </c>
      <c r="S1" t="s">
        <v>22</v>
      </c>
      <c r="T1" t="s">
        <v>23</v>
      </c>
      <c r="U1" t="s">
        <v>24</v>
      </c>
      <c r="V1" t="s">
        <v>25</v>
      </c>
      <c r="W1" t="s">
        <v>29</v>
      </c>
      <c r="Z1" t="s">
        <v>30</v>
      </c>
    </row>
    <row r="2" spans="1:26" outlineLevel="2" x14ac:dyDescent="0.3">
      <c r="A2">
        <v>12.68</v>
      </c>
      <c r="C2">
        <f>MAX(A:A)</f>
        <v>219.96</v>
      </c>
      <c r="F2">
        <f>MIN(A:A)</f>
        <v>-234.38</v>
      </c>
      <c r="I2">
        <f>IF(A2&gt;0,A2,"")</f>
        <v>12.68</v>
      </c>
      <c r="J2" t="str">
        <f>IF(AND(I3&gt;I2,I3&gt;I4,I3&gt;$D$5),I3,"")</f>
        <v/>
      </c>
      <c r="K2" t="e">
        <f t="shared" ref="K2:K11" si="0">MATCH(J2,$A$1:$A$10041,0)</f>
        <v>#N/A</v>
      </c>
      <c r="L2" t="str">
        <f>IF(A2&lt;0,A2,"")</f>
        <v/>
      </c>
      <c r="M2" t="str">
        <f>IF(AND(L3&lt;L2,L3&lt;L4,L3&lt;$G$5),L3,"")</f>
        <v/>
      </c>
      <c r="N2" t="e">
        <f t="shared" ref="N2:N11" si="1">MATCH(M2,$A$1:$A$10041,0)</f>
        <v>#N/A</v>
      </c>
      <c r="P2">
        <f>IF(A2&gt;0,1,2)</f>
        <v>1</v>
      </c>
      <c r="Q2" t="str">
        <f ca="1">IF(AND(A3&gt;=0,A2&lt;0),CELL("ROW",A3),IF(AND(A3&lt;0,A2&gt;=0),CELL("ROW",A3),""))</f>
        <v/>
      </c>
      <c r="R2" t="str">
        <f ca="1">IF(ISNUMBER(K2),IF(INT(K2)=K2,K2,""),"")&amp;IF(ISNUMBER(N2),IF(INT(N2)=N2,N2,""),"")&amp;IF(ISNUMBER(Q2),IF(INT(Q2)=Q2,Q2,""),"")</f>
        <v/>
      </c>
      <c r="S2" t="str">
        <f ca="1">IF(R7&lt;&gt;"",R7)</f>
        <v>8</v>
      </c>
      <c r="T2">
        <f ca="1">S3-S2</f>
        <v>5</v>
      </c>
      <c r="U2">
        <f ca="1">IF(AND(T4&gt;5,T4&lt;20),T4)</f>
        <v>12</v>
      </c>
      <c r="V2">
        <v>1</v>
      </c>
      <c r="W2" t="str">
        <f>IF(AND(V2&gt;2,V2&lt;20),V2,"")</f>
        <v/>
      </c>
      <c r="Z2">
        <v>10</v>
      </c>
    </row>
    <row r="3" spans="1:26" outlineLevel="2" x14ac:dyDescent="0.3">
      <c r="A3">
        <v>21.62</v>
      </c>
      <c r="I3">
        <f t="shared" ref="I3:I69" si="2">IF(A3&gt;0,A3,"")</f>
        <v>21.62</v>
      </c>
      <c r="J3" t="str">
        <f t="shared" ref="J3:J69" si="3">IF(AND(I4&gt;I3,I4&gt;I5,I4&gt;$D$5),I4,"")</f>
        <v/>
      </c>
      <c r="K3" t="e">
        <f t="shared" si="0"/>
        <v>#N/A</v>
      </c>
      <c r="L3" t="str">
        <f t="shared" ref="L3:L69" si="4">IF(A3&lt;0,A3,"")</f>
        <v/>
      </c>
      <c r="M3" t="str">
        <f t="shared" ref="M3:M69" si="5">IF(AND(L4&lt;L3,L4&lt;L5,L4&lt;$G$5),L4,"")</f>
        <v/>
      </c>
      <c r="N3" t="e">
        <f t="shared" si="1"/>
        <v>#N/A</v>
      </c>
      <c r="P3">
        <f t="shared" ref="P3:P69" si="6">IF(A3&gt;0,1,2)</f>
        <v>1</v>
      </c>
      <c r="Q3" t="str">
        <f t="shared" ref="Q3:Q69" ca="1" si="7">IF(AND(A4&gt;=0,A3&lt;0),CELL("ROW",A4),IF(AND(A4&lt;0,A3&gt;=0),CELL("ROW",A4),""))</f>
        <v/>
      </c>
      <c r="R3" t="str">
        <f t="shared" ref="R3:R69" ca="1" si="8">IF(ISNUMBER(K3),IF(INT(K3)=K3,K3,""),"")&amp;IF(ISNUMBER(N3),IF(INT(N3)=N3,N3,""),"")&amp;IF(ISNUMBER(Q3),IF(INT(Q3)=Q3,Q3,""),"")</f>
        <v/>
      </c>
      <c r="S3" t="str">
        <f ca="1">IF(R11&lt;&gt;"",R11)</f>
        <v>13</v>
      </c>
      <c r="T3">
        <f t="shared" ref="T3:T69" ca="1" si="9">S4-S3</f>
        <v>4</v>
      </c>
      <c r="U3">
        <f ca="1">IF(AND(T10&gt;5,T10&lt;20),T10)</f>
        <v>17</v>
      </c>
      <c r="V3">
        <v>1</v>
      </c>
      <c r="W3" t="str">
        <f t="shared" ref="W3:W66" si="10">IF(AND(V3&gt;2,V3&lt;20),V3,"")</f>
        <v/>
      </c>
      <c r="Z3">
        <v>15</v>
      </c>
    </row>
    <row r="4" spans="1:26" outlineLevel="2" x14ac:dyDescent="0.3">
      <c r="A4">
        <v>46.35</v>
      </c>
      <c r="C4" t="s">
        <v>3</v>
      </c>
      <c r="D4" t="s">
        <v>4</v>
      </c>
      <c r="F4" t="s">
        <v>5</v>
      </c>
      <c r="G4" t="s">
        <v>6</v>
      </c>
      <c r="I4">
        <f t="shared" si="2"/>
        <v>46.35</v>
      </c>
      <c r="J4" t="str">
        <f t="shared" si="3"/>
        <v/>
      </c>
      <c r="K4" t="e">
        <f t="shared" si="0"/>
        <v>#N/A</v>
      </c>
      <c r="L4" t="str">
        <f t="shared" si="4"/>
        <v/>
      </c>
      <c r="M4" t="str">
        <f t="shared" si="5"/>
        <v/>
      </c>
      <c r="N4" t="e">
        <f t="shared" si="1"/>
        <v>#N/A</v>
      </c>
      <c r="P4">
        <f t="shared" si="6"/>
        <v>1</v>
      </c>
      <c r="Q4" t="str">
        <f t="shared" ca="1" si="7"/>
        <v/>
      </c>
      <c r="R4" t="str">
        <f t="shared" ca="1" si="8"/>
        <v/>
      </c>
      <c r="S4" t="str">
        <f ca="1">IF(R16&lt;&gt;"",R16)</f>
        <v>17</v>
      </c>
      <c r="T4">
        <f t="shared" ca="1" si="9"/>
        <v>12</v>
      </c>
      <c r="U4">
        <f ca="1">IF(AND(T15&gt;5,T15&lt;20),T15)</f>
        <v>12</v>
      </c>
      <c r="V4">
        <v>1</v>
      </c>
      <c r="W4" t="str">
        <f t="shared" si="10"/>
        <v/>
      </c>
      <c r="Z4">
        <v>16</v>
      </c>
    </row>
    <row r="5" spans="1:26" outlineLevel="2" x14ac:dyDescent="0.3">
      <c r="A5">
        <v>86.6</v>
      </c>
      <c r="C5">
        <f>0.05*C2</f>
        <v>10.998000000000001</v>
      </c>
      <c r="D5">
        <f>0.75*C2</f>
        <v>164.97</v>
      </c>
      <c r="F5">
        <f>0.05*F2</f>
        <v>-11.719000000000001</v>
      </c>
      <c r="G5">
        <f>0.75*F2</f>
        <v>-175.785</v>
      </c>
      <c r="I5">
        <f t="shared" si="2"/>
        <v>86.6</v>
      </c>
      <c r="J5" t="str">
        <f t="shared" si="3"/>
        <v/>
      </c>
      <c r="K5" t="e">
        <f t="shared" si="0"/>
        <v>#N/A</v>
      </c>
      <c r="L5" t="str">
        <f t="shared" si="4"/>
        <v/>
      </c>
      <c r="M5" t="str">
        <f t="shared" si="5"/>
        <v/>
      </c>
      <c r="N5" t="e">
        <f t="shared" si="1"/>
        <v>#N/A</v>
      </c>
      <c r="P5">
        <f t="shared" si="6"/>
        <v>1</v>
      </c>
      <c r="Q5" t="str">
        <f t="shared" ca="1" si="7"/>
        <v/>
      </c>
      <c r="R5" t="str">
        <f t="shared" ca="1" si="8"/>
        <v/>
      </c>
      <c r="S5" t="str">
        <f ca="1">IF(R27&lt;&gt;"",R27)</f>
        <v>29</v>
      </c>
      <c r="T5">
        <f t="shared" ca="1" si="9"/>
        <v>35</v>
      </c>
      <c r="U5">
        <f ca="1">IF(AND(T24&gt;5,T24&lt;20),T24)</f>
        <v>16</v>
      </c>
      <c r="V5">
        <v>1</v>
      </c>
      <c r="W5" t="str">
        <f t="shared" si="10"/>
        <v/>
      </c>
      <c r="Z5">
        <v>9</v>
      </c>
    </row>
    <row r="6" spans="1:26" outlineLevel="2" x14ac:dyDescent="0.3">
      <c r="A6">
        <v>136.83000000000001</v>
      </c>
      <c r="I6">
        <f t="shared" si="2"/>
        <v>136.83000000000001</v>
      </c>
      <c r="J6" t="str">
        <f t="shared" si="3"/>
        <v/>
      </c>
      <c r="K6" t="e">
        <f t="shared" si="0"/>
        <v>#N/A</v>
      </c>
      <c r="L6" t="str">
        <f t="shared" si="4"/>
        <v/>
      </c>
      <c r="M6" t="str">
        <f t="shared" si="5"/>
        <v/>
      </c>
      <c r="N6" t="e">
        <f t="shared" si="1"/>
        <v>#N/A</v>
      </c>
      <c r="P6">
        <f t="shared" si="6"/>
        <v>1</v>
      </c>
      <c r="Q6" t="str">
        <f t="shared" ca="1" si="7"/>
        <v/>
      </c>
      <c r="R6" t="str">
        <f t="shared" ca="1" si="8"/>
        <v/>
      </c>
      <c r="S6" t="str">
        <f ca="1">IF(R62&lt;&gt;"",R62)</f>
        <v>64</v>
      </c>
      <c r="T6">
        <f t="shared" ca="1" si="9"/>
        <v>31</v>
      </c>
      <c r="U6">
        <f ca="1">IF(AND(T26&gt;5,T26&lt;20),T26)</f>
        <v>15</v>
      </c>
      <c r="V6">
        <v>1</v>
      </c>
      <c r="W6" t="str">
        <f t="shared" si="10"/>
        <v/>
      </c>
      <c r="Z6">
        <v>15</v>
      </c>
    </row>
    <row r="7" spans="1:26" outlineLevel="2" x14ac:dyDescent="0.3">
      <c r="A7">
        <v>185.47</v>
      </c>
      <c r="I7">
        <f t="shared" si="2"/>
        <v>185.47</v>
      </c>
      <c r="J7">
        <f t="shared" si="3"/>
        <v>212.07</v>
      </c>
      <c r="K7">
        <f t="shared" si="0"/>
        <v>8</v>
      </c>
      <c r="L7" t="str">
        <f t="shared" si="4"/>
        <v/>
      </c>
      <c r="M7" t="str">
        <f t="shared" si="5"/>
        <v/>
      </c>
      <c r="N7" t="e">
        <f t="shared" si="1"/>
        <v>#N/A</v>
      </c>
      <c r="P7">
        <f t="shared" si="6"/>
        <v>1</v>
      </c>
      <c r="Q7" t="str">
        <f t="shared" ca="1" si="7"/>
        <v/>
      </c>
      <c r="R7" t="str">
        <f t="shared" ca="1" si="8"/>
        <v>8</v>
      </c>
      <c r="S7" t="str">
        <f ca="1">IF(R93&lt;&gt;"",R93)</f>
        <v>95</v>
      </c>
      <c r="T7">
        <f t="shared" ca="1" si="9"/>
        <v>38</v>
      </c>
      <c r="U7">
        <f ca="1">IF(AND(T32&gt;5,T32&lt;20),T32)</f>
        <v>18</v>
      </c>
      <c r="V7">
        <v>1</v>
      </c>
      <c r="W7" t="str">
        <f t="shared" si="10"/>
        <v/>
      </c>
      <c r="Z7">
        <v>19</v>
      </c>
    </row>
    <row r="8" spans="1:26" outlineLevel="2" x14ac:dyDescent="0.3">
      <c r="A8">
        <v>212.07</v>
      </c>
      <c r="C8" t="s">
        <v>7</v>
      </c>
      <c r="D8" t="s">
        <v>8</v>
      </c>
      <c r="E8" t="s">
        <v>9</v>
      </c>
      <c r="F8" t="s">
        <v>7</v>
      </c>
      <c r="G8" t="s">
        <v>8</v>
      </c>
      <c r="H8" t="s">
        <v>9</v>
      </c>
      <c r="I8">
        <f t="shared" si="2"/>
        <v>212.07</v>
      </c>
      <c r="J8" t="str">
        <f t="shared" si="3"/>
        <v/>
      </c>
      <c r="K8" t="e">
        <f t="shared" si="0"/>
        <v>#N/A</v>
      </c>
      <c r="L8" t="str">
        <f t="shared" si="4"/>
        <v/>
      </c>
      <c r="M8" t="str">
        <f t="shared" si="5"/>
        <v/>
      </c>
      <c r="N8" t="e">
        <f t="shared" si="1"/>
        <v>#N/A</v>
      </c>
      <c r="P8">
        <f t="shared" si="6"/>
        <v>1</v>
      </c>
      <c r="Q8" t="str">
        <f t="shared" ca="1" si="7"/>
        <v/>
      </c>
      <c r="R8" t="str">
        <f t="shared" ca="1" si="8"/>
        <v/>
      </c>
      <c r="S8" t="str">
        <f ca="1">IF(R131&lt;&gt;"",R131)</f>
        <v>133</v>
      </c>
      <c r="T8">
        <f t="shared" ca="1" si="9"/>
        <v>55</v>
      </c>
      <c r="U8">
        <f ca="1">IF(AND(T35&gt;5,T35&lt;20),T35)</f>
        <v>10</v>
      </c>
      <c r="V8">
        <v>1</v>
      </c>
      <c r="W8" t="str">
        <f t="shared" si="10"/>
        <v/>
      </c>
      <c r="Z8">
        <v>14</v>
      </c>
    </row>
    <row r="9" spans="1:26" outlineLevel="2" x14ac:dyDescent="0.3">
      <c r="A9">
        <v>197.3</v>
      </c>
      <c r="C9">
        <v>1</v>
      </c>
      <c r="D9">
        <v>212.07</v>
      </c>
      <c r="E9">
        <v>8</v>
      </c>
      <c r="F9">
        <v>1</v>
      </c>
      <c r="G9">
        <v>-234.38</v>
      </c>
      <c r="H9">
        <v>16</v>
      </c>
      <c r="I9">
        <f t="shared" si="2"/>
        <v>197.3</v>
      </c>
      <c r="J9" t="str">
        <f t="shared" si="3"/>
        <v/>
      </c>
      <c r="K9" t="e">
        <f t="shared" si="0"/>
        <v>#N/A</v>
      </c>
      <c r="L9" t="str">
        <f t="shared" si="4"/>
        <v/>
      </c>
      <c r="M9" t="str">
        <f t="shared" si="5"/>
        <v/>
      </c>
      <c r="N9" t="e">
        <f t="shared" si="1"/>
        <v>#N/A</v>
      </c>
      <c r="P9">
        <f t="shared" si="6"/>
        <v>1</v>
      </c>
      <c r="Q9" t="str">
        <f t="shared" ca="1" si="7"/>
        <v/>
      </c>
      <c r="R9" t="str">
        <f t="shared" ca="1" si="8"/>
        <v/>
      </c>
      <c r="S9" t="str">
        <f ca="1">IF(R186&lt;&gt;"",R186)</f>
        <v>188</v>
      </c>
      <c r="T9">
        <f t="shared" ca="1" si="9"/>
        <v>54</v>
      </c>
      <c r="U9">
        <f ca="1">IF(AND(T40&gt;5,T40&lt;20),T40)</f>
        <v>6</v>
      </c>
      <c r="V9">
        <v>1</v>
      </c>
      <c r="W9" t="str">
        <f t="shared" si="10"/>
        <v/>
      </c>
      <c r="Z9">
        <v>14</v>
      </c>
    </row>
    <row r="10" spans="1:26" outlineLevel="2" x14ac:dyDescent="0.3">
      <c r="A10">
        <v>138.71</v>
      </c>
      <c r="C10">
        <v>2</v>
      </c>
      <c r="D10">
        <v>189.63</v>
      </c>
      <c r="E10">
        <v>256</v>
      </c>
      <c r="F10">
        <v>2</v>
      </c>
      <c r="G10">
        <v>-192.47</v>
      </c>
      <c r="H10">
        <v>264</v>
      </c>
      <c r="I10">
        <f t="shared" si="2"/>
        <v>138.71</v>
      </c>
      <c r="J10" t="str">
        <f>IF(AND(I11&gt;I10,I11&gt;I13,I11&gt;$D$5),I11,"")</f>
        <v/>
      </c>
      <c r="K10" t="e">
        <f t="shared" si="0"/>
        <v>#N/A</v>
      </c>
      <c r="L10" t="str">
        <f t="shared" si="4"/>
        <v/>
      </c>
      <c r="M10" t="str">
        <f>IF(AND(L11&lt;L10,L11&lt;L13,L11&lt;$G$5),L11,"")</f>
        <v/>
      </c>
      <c r="N10" t="e">
        <f t="shared" si="1"/>
        <v>#N/A</v>
      </c>
      <c r="P10">
        <f t="shared" si="6"/>
        <v>1</v>
      </c>
      <c r="Q10" t="str">
        <f t="shared" ca="1" si="7"/>
        <v/>
      </c>
      <c r="R10" t="str">
        <f t="shared" ca="1" si="8"/>
        <v/>
      </c>
      <c r="S10" t="str">
        <f ca="1">IF(R240&lt;&gt;"",R240)</f>
        <v>242</v>
      </c>
      <c r="T10">
        <f t="shared" ca="1" si="9"/>
        <v>17</v>
      </c>
      <c r="U10">
        <f ca="1">IF(AND(T43&gt;5,T43&lt;20),T43)</f>
        <v>11</v>
      </c>
      <c r="V10">
        <v>1</v>
      </c>
      <c r="W10" t="str">
        <f t="shared" si="10"/>
        <v/>
      </c>
      <c r="Z10">
        <v>10</v>
      </c>
    </row>
    <row r="11" spans="1:26" outlineLevel="2" x14ac:dyDescent="0.3">
      <c r="A11">
        <v>50.54</v>
      </c>
      <c r="C11">
        <v>3</v>
      </c>
      <c r="D11">
        <v>203.09</v>
      </c>
      <c r="E11">
        <v>492</v>
      </c>
      <c r="F11">
        <v>3</v>
      </c>
      <c r="G11">
        <v>-202.54</v>
      </c>
      <c r="H11">
        <v>696</v>
      </c>
      <c r="I11">
        <f t="shared" si="2"/>
        <v>50.54</v>
      </c>
      <c r="J11" t="str">
        <f>IF(AND(I13&gt;I11,I13&gt;I14,I13&gt;$D$5),I13,"")</f>
        <v/>
      </c>
      <c r="K11" t="e">
        <f t="shared" si="0"/>
        <v>#N/A</v>
      </c>
      <c r="L11" t="str">
        <f t="shared" si="4"/>
        <v/>
      </c>
      <c r="M11" t="str">
        <f>IF(AND(L13&lt;L11,L13&lt;L14,L13&lt;$G$5),L13,"")</f>
        <v/>
      </c>
      <c r="N11" t="e">
        <f t="shared" si="1"/>
        <v>#N/A</v>
      </c>
      <c r="P11">
        <f t="shared" si="6"/>
        <v>1</v>
      </c>
      <c r="Q11">
        <f ca="1">IF(AND(A13&gt;=0,A11&lt;0),CELL("ROW",A13),IF(AND(A13&lt;0,A11&gt;=0),CELL("ROW",A13),""))</f>
        <v>13</v>
      </c>
      <c r="R11" t="str">
        <f t="shared" ca="1" si="8"/>
        <v>13</v>
      </c>
      <c r="S11" t="str">
        <f ca="1">IF(R257&lt;&gt;"",R257)</f>
        <v>259</v>
      </c>
      <c r="T11">
        <f ca="1">S13-S11</f>
        <v>5</v>
      </c>
      <c r="U11">
        <f ca="1">IF(AND(T49&gt;5,T49&lt;20),T49)</f>
        <v>10</v>
      </c>
      <c r="V11">
        <v>1</v>
      </c>
      <c r="W11" t="str">
        <f t="shared" si="10"/>
        <v/>
      </c>
      <c r="Z11">
        <v>15</v>
      </c>
    </row>
    <row r="12" spans="1:26" outlineLevel="1" x14ac:dyDescent="0.3">
      <c r="O12" s="1" t="s">
        <v>26</v>
      </c>
      <c r="P12">
        <f>SUBTOTAL(3,P2:P11)</f>
        <v>10</v>
      </c>
      <c r="V12">
        <v>10</v>
      </c>
      <c r="W12">
        <f t="shared" si="10"/>
        <v>10</v>
      </c>
      <c r="Z12">
        <v>9</v>
      </c>
    </row>
    <row r="13" spans="1:26" outlineLevel="2" x14ac:dyDescent="0.3">
      <c r="A13">
        <v>-44.3</v>
      </c>
      <c r="C13">
        <v>4</v>
      </c>
      <c r="D13">
        <v>210.27</v>
      </c>
      <c r="E13">
        <v>686</v>
      </c>
      <c r="F13">
        <v>4</v>
      </c>
      <c r="G13">
        <v>-228.91</v>
      </c>
      <c r="H13">
        <v>851</v>
      </c>
      <c r="I13" t="str">
        <f t="shared" si="2"/>
        <v/>
      </c>
      <c r="J13" t="str">
        <f t="shared" si="3"/>
        <v/>
      </c>
      <c r="K13" t="e">
        <f t="shared" ref="K13:K27" si="11">MATCH(J13,$A$1:$A$10041,0)</f>
        <v>#N/A</v>
      </c>
      <c r="L13">
        <f t="shared" si="4"/>
        <v>-44.3</v>
      </c>
      <c r="M13" t="str">
        <f t="shared" si="5"/>
        <v/>
      </c>
      <c r="N13" t="e">
        <f t="shared" ref="N13:N27" si="12">MATCH(M13,$A$1:$A$10041,0)</f>
        <v>#N/A</v>
      </c>
      <c r="P13">
        <f t="shared" si="6"/>
        <v>2</v>
      </c>
      <c r="Q13" t="str">
        <f t="shared" ca="1" si="7"/>
        <v/>
      </c>
      <c r="R13" t="str">
        <f t="shared" ca="1" si="8"/>
        <v/>
      </c>
      <c r="S13" t="str">
        <f ca="1">IF(R263&lt;&gt;"",R263)</f>
        <v>264</v>
      </c>
      <c r="T13">
        <f t="shared" ca="1" si="9"/>
        <v>5</v>
      </c>
      <c r="V13">
        <v>2</v>
      </c>
      <c r="W13" t="str">
        <f t="shared" si="10"/>
        <v/>
      </c>
      <c r="Z13">
        <v>9</v>
      </c>
    </row>
    <row r="14" spans="1:26" outlineLevel="2" x14ac:dyDescent="0.3">
      <c r="A14">
        <v>-125.36</v>
      </c>
      <c r="C14">
        <v>5</v>
      </c>
      <c r="D14">
        <v>219.96</v>
      </c>
      <c r="E14">
        <v>842</v>
      </c>
      <c r="F14">
        <v>5</v>
      </c>
      <c r="I14" t="str">
        <f t="shared" si="2"/>
        <v/>
      </c>
      <c r="J14" t="str">
        <f t="shared" si="3"/>
        <v/>
      </c>
      <c r="K14" t="e">
        <f t="shared" si="11"/>
        <v>#N/A</v>
      </c>
      <c r="L14">
        <f t="shared" si="4"/>
        <v>-125.36</v>
      </c>
      <c r="M14" t="str">
        <f t="shared" si="5"/>
        <v/>
      </c>
      <c r="N14" t="e">
        <f t="shared" si="12"/>
        <v>#N/A</v>
      </c>
      <c r="P14">
        <f t="shared" si="6"/>
        <v>2</v>
      </c>
      <c r="Q14" t="str">
        <f t="shared" ca="1" si="7"/>
        <v/>
      </c>
      <c r="R14" t="str">
        <f t="shared" ca="1" si="8"/>
        <v/>
      </c>
      <c r="S14" t="str">
        <f ca="1">IF(R267&lt;&gt;"",R267)</f>
        <v>269</v>
      </c>
      <c r="T14">
        <f t="shared" ca="1" si="9"/>
        <v>4</v>
      </c>
      <c r="V14">
        <v>2</v>
      </c>
      <c r="W14" t="str">
        <f t="shared" si="10"/>
        <v/>
      </c>
    </row>
    <row r="15" spans="1:26" outlineLevel="2" x14ac:dyDescent="0.3">
      <c r="A15">
        <v>-183.35</v>
      </c>
      <c r="C15">
        <v>6</v>
      </c>
      <c r="F15">
        <v>6</v>
      </c>
      <c r="I15" t="str">
        <f t="shared" si="2"/>
        <v/>
      </c>
      <c r="J15" t="str">
        <f t="shared" si="3"/>
        <v/>
      </c>
      <c r="K15" t="e">
        <f t="shared" si="11"/>
        <v>#N/A</v>
      </c>
      <c r="L15">
        <f t="shared" si="4"/>
        <v>-183.35</v>
      </c>
      <c r="M15" t="str">
        <f t="shared" si="5"/>
        <v/>
      </c>
      <c r="N15" t="e">
        <f t="shared" si="12"/>
        <v>#N/A</v>
      </c>
      <c r="P15">
        <f t="shared" si="6"/>
        <v>2</v>
      </c>
      <c r="Q15" t="str">
        <f t="shared" ca="1" si="7"/>
        <v/>
      </c>
      <c r="R15" t="str">
        <f t="shared" ca="1" si="8"/>
        <v/>
      </c>
      <c r="S15" t="str">
        <f ca="1">IF(R272&lt;&gt;"",R272)</f>
        <v>273</v>
      </c>
      <c r="T15">
        <f t="shared" ca="1" si="9"/>
        <v>12</v>
      </c>
      <c r="V15">
        <v>2</v>
      </c>
      <c r="W15" t="str">
        <f t="shared" si="10"/>
        <v/>
      </c>
    </row>
    <row r="16" spans="1:26" outlineLevel="2" x14ac:dyDescent="0.3">
      <c r="A16">
        <v>-218.68</v>
      </c>
      <c r="I16" t="str">
        <f t="shared" si="2"/>
        <v/>
      </c>
      <c r="J16" t="str">
        <f t="shared" si="3"/>
        <v/>
      </c>
      <c r="K16" t="e">
        <f t="shared" si="11"/>
        <v>#N/A</v>
      </c>
      <c r="L16">
        <f t="shared" si="4"/>
        <v>-218.68</v>
      </c>
      <c r="M16">
        <f t="shared" si="5"/>
        <v>-234.38</v>
      </c>
      <c r="N16">
        <f t="shared" si="12"/>
        <v>17</v>
      </c>
      <c r="P16">
        <f t="shared" si="6"/>
        <v>2</v>
      </c>
      <c r="Q16" t="str">
        <f t="shared" ca="1" si="7"/>
        <v/>
      </c>
      <c r="R16" t="str">
        <f t="shared" ca="1" si="8"/>
        <v>17</v>
      </c>
      <c r="S16" t="str">
        <f ca="1">IF(R283&lt;&gt;"",R283)</f>
        <v>285</v>
      </c>
      <c r="T16">
        <f t="shared" ca="1" si="9"/>
        <v>38</v>
      </c>
      <c r="V16">
        <v>2</v>
      </c>
      <c r="W16" t="str">
        <f t="shared" si="10"/>
        <v/>
      </c>
    </row>
    <row r="17" spans="1:23" outlineLevel="2" x14ac:dyDescent="0.3">
      <c r="A17">
        <v>-234.38</v>
      </c>
      <c r="C17" t="s">
        <v>15</v>
      </c>
      <c r="F17" t="s">
        <v>16</v>
      </c>
      <c r="I17" t="str">
        <f t="shared" si="2"/>
        <v/>
      </c>
      <c r="J17" t="str">
        <f t="shared" si="3"/>
        <v/>
      </c>
      <c r="K17" t="e">
        <f t="shared" si="11"/>
        <v>#N/A</v>
      </c>
      <c r="L17">
        <f t="shared" si="4"/>
        <v>-234.38</v>
      </c>
      <c r="M17" t="str">
        <f t="shared" si="5"/>
        <v/>
      </c>
      <c r="N17" t="e">
        <f t="shared" si="12"/>
        <v>#N/A</v>
      </c>
      <c r="P17">
        <f t="shared" si="6"/>
        <v>2</v>
      </c>
      <c r="Q17" t="str">
        <f t="shared" ca="1" si="7"/>
        <v/>
      </c>
      <c r="R17" t="str">
        <f t="shared" ca="1" si="8"/>
        <v/>
      </c>
      <c r="S17" t="str">
        <f ca="1">IF(R321&lt;&gt;"",R321)</f>
        <v>323</v>
      </c>
      <c r="T17">
        <f t="shared" ca="1" si="9"/>
        <v>28</v>
      </c>
      <c r="V17">
        <v>2</v>
      </c>
      <c r="W17" t="str">
        <f t="shared" si="10"/>
        <v/>
      </c>
    </row>
    <row r="18" spans="1:23" outlineLevel="2" x14ac:dyDescent="0.3">
      <c r="A18">
        <v>-233.41</v>
      </c>
      <c r="C18">
        <v>207.00399999999999</v>
      </c>
      <c r="F18">
        <v>-214.57499999999999</v>
      </c>
      <c r="I18" t="str">
        <f t="shared" si="2"/>
        <v/>
      </c>
      <c r="J18" t="str">
        <f t="shared" si="3"/>
        <v/>
      </c>
      <c r="K18" t="e">
        <f t="shared" si="11"/>
        <v>#N/A</v>
      </c>
      <c r="L18">
        <f t="shared" si="4"/>
        <v>-233.41</v>
      </c>
      <c r="M18" t="str">
        <f t="shared" si="5"/>
        <v/>
      </c>
      <c r="N18" t="e">
        <f t="shared" si="12"/>
        <v>#N/A</v>
      </c>
      <c r="P18">
        <f t="shared" si="6"/>
        <v>2</v>
      </c>
      <c r="Q18" t="str">
        <f t="shared" ca="1" si="7"/>
        <v/>
      </c>
      <c r="R18" t="str">
        <f t="shared" ca="1" si="8"/>
        <v/>
      </c>
      <c r="S18" t="str">
        <f ca="1">IF(R349&lt;&gt;"",R349)</f>
        <v>351</v>
      </c>
      <c r="T18">
        <f t="shared" ca="1" si="9"/>
        <v>2</v>
      </c>
      <c r="V18">
        <v>2</v>
      </c>
      <c r="W18" t="str">
        <f t="shared" si="10"/>
        <v/>
      </c>
    </row>
    <row r="19" spans="1:23" outlineLevel="2" x14ac:dyDescent="0.3">
      <c r="A19">
        <v>-220.13</v>
      </c>
      <c r="I19" t="str">
        <f t="shared" si="2"/>
        <v/>
      </c>
      <c r="J19" t="str">
        <f t="shared" si="3"/>
        <v/>
      </c>
      <c r="K19" t="e">
        <f t="shared" si="11"/>
        <v>#N/A</v>
      </c>
      <c r="L19">
        <f t="shared" si="4"/>
        <v>-220.13</v>
      </c>
      <c r="M19" t="str">
        <f t="shared" si="5"/>
        <v/>
      </c>
      <c r="N19" t="e">
        <f t="shared" si="12"/>
        <v>#N/A</v>
      </c>
      <c r="P19">
        <f t="shared" si="6"/>
        <v>2</v>
      </c>
      <c r="Q19" t="str">
        <f t="shared" ca="1" si="7"/>
        <v/>
      </c>
      <c r="R19" t="str">
        <f t="shared" ca="1" si="8"/>
        <v/>
      </c>
      <c r="S19" t="str">
        <f ca="1">IF(R351&lt;&gt;"",R351)</f>
        <v>353</v>
      </c>
      <c r="T19">
        <f t="shared" ca="1" si="9"/>
        <v>2</v>
      </c>
      <c r="V19">
        <v>2</v>
      </c>
      <c r="W19" t="str">
        <f t="shared" si="10"/>
        <v/>
      </c>
    </row>
    <row r="20" spans="1:23" outlineLevel="2" x14ac:dyDescent="0.3">
      <c r="A20">
        <v>-198.97</v>
      </c>
      <c r="I20" t="str">
        <f t="shared" si="2"/>
        <v/>
      </c>
      <c r="J20" t="str">
        <f t="shared" si="3"/>
        <v/>
      </c>
      <c r="K20" t="e">
        <f t="shared" si="11"/>
        <v>#N/A</v>
      </c>
      <c r="L20">
        <f t="shared" si="4"/>
        <v>-198.97</v>
      </c>
      <c r="M20" t="str">
        <f t="shared" si="5"/>
        <v/>
      </c>
      <c r="N20" t="e">
        <f t="shared" si="12"/>
        <v>#N/A</v>
      </c>
      <c r="P20">
        <f t="shared" si="6"/>
        <v>2</v>
      </c>
      <c r="Q20" t="str">
        <f t="shared" ca="1" si="7"/>
        <v/>
      </c>
      <c r="R20" t="str">
        <f t="shared" ca="1" si="8"/>
        <v/>
      </c>
      <c r="S20" t="str">
        <f ca="1">IF(R353&lt;&gt;"",R353)</f>
        <v>355</v>
      </c>
      <c r="T20">
        <f t="shared" ca="1" si="9"/>
        <v>29</v>
      </c>
      <c r="V20">
        <v>2</v>
      </c>
      <c r="W20" t="str">
        <f t="shared" si="10"/>
        <v/>
      </c>
    </row>
    <row r="21" spans="1:23" outlineLevel="2" x14ac:dyDescent="0.3">
      <c r="A21">
        <v>-171.48</v>
      </c>
      <c r="C21" t="s">
        <v>7</v>
      </c>
      <c r="D21" t="s">
        <v>17</v>
      </c>
      <c r="F21" t="s">
        <v>7</v>
      </c>
      <c r="G21" t="s">
        <v>18</v>
      </c>
      <c r="I21" t="str">
        <f t="shared" si="2"/>
        <v/>
      </c>
      <c r="J21" t="str">
        <f t="shared" si="3"/>
        <v/>
      </c>
      <c r="K21" t="e">
        <f t="shared" si="11"/>
        <v>#N/A</v>
      </c>
      <c r="L21">
        <f t="shared" si="4"/>
        <v>-171.48</v>
      </c>
      <c r="M21" t="str">
        <f t="shared" si="5"/>
        <v/>
      </c>
      <c r="N21" t="e">
        <f t="shared" si="12"/>
        <v>#N/A</v>
      </c>
      <c r="P21">
        <f t="shared" si="6"/>
        <v>2</v>
      </c>
      <c r="Q21" t="str">
        <f t="shared" ca="1" si="7"/>
        <v/>
      </c>
      <c r="R21" t="str">
        <f t="shared" ca="1" si="8"/>
        <v/>
      </c>
      <c r="S21" t="str">
        <f ca="1">IF(R382&lt;&gt;"",R382)</f>
        <v>384</v>
      </c>
      <c r="T21">
        <f t="shared" ca="1" si="9"/>
        <v>37</v>
      </c>
      <c r="V21">
        <v>2</v>
      </c>
      <c r="W21" t="str">
        <f t="shared" si="10"/>
        <v/>
      </c>
    </row>
    <row r="22" spans="1:23" outlineLevel="2" x14ac:dyDescent="0.3">
      <c r="A22">
        <v>-139.38</v>
      </c>
      <c r="C22">
        <v>1</v>
      </c>
      <c r="D22">
        <v>10</v>
      </c>
      <c r="F22">
        <v>1</v>
      </c>
      <c r="G22">
        <v>15</v>
      </c>
      <c r="I22" t="str">
        <f t="shared" si="2"/>
        <v/>
      </c>
      <c r="J22" t="str">
        <f t="shared" si="3"/>
        <v/>
      </c>
      <c r="K22" t="e">
        <f t="shared" si="11"/>
        <v>#N/A</v>
      </c>
      <c r="L22">
        <f t="shared" si="4"/>
        <v>-139.38</v>
      </c>
      <c r="M22" t="str">
        <f t="shared" si="5"/>
        <v/>
      </c>
      <c r="N22" t="e">
        <f t="shared" si="12"/>
        <v>#N/A</v>
      </c>
      <c r="P22">
        <f t="shared" si="6"/>
        <v>2</v>
      </c>
      <c r="Q22" t="str">
        <f t="shared" ca="1" si="7"/>
        <v/>
      </c>
      <c r="R22" t="str">
        <f t="shared" ca="1" si="8"/>
        <v/>
      </c>
      <c r="S22" t="str">
        <f ca="1">IF(R419&lt;&gt;"",R419)</f>
        <v>421</v>
      </c>
      <c r="T22">
        <f t="shared" ca="1" si="9"/>
        <v>37</v>
      </c>
      <c r="V22">
        <v>2</v>
      </c>
      <c r="W22" t="str">
        <f t="shared" si="10"/>
        <v/>
      </c>
    </row>
    <row r="23" spans="1:23" outlineLevel="2" x14ac:dyDescent="0.3">
      <c r="A23">
        <v>-109.17</v>
      </c>
      <c r="C23">
        <v>2</v>
      </c>
      <c r="D23">
        <v>16</v>
      </c>
      <c r="F23">
        <v>2</v>
      </c>
      <c r="G23">
        <v>9</v>
      </c>
      <c r="I23" t="str">
        <f t="shared" si="2"/>
        <v/>
      </c>
      <c r="J23" t="str">
        <f t="shared" si="3"/>
        <v/>
      </c>
      <c r="K23" t="e">
        <f t="shared" si="11"/>
        <v>#N/A</v>
      </c>
      <c r="L23">
        <f t="shared" si="4"/>
        <v>-109.17</v>
      </c>
      <c r="M23" t="str">
        <f t="shared" si="5"/>
        <v/>
      </c>
      <c r="N23" t="e">
        <f t="shared" si="12"/>
        <v>#N/A</v>
      </c>
      <c r="P23">
        <f t="shared" si="6"/>
        <v>2</v>
      </c>
      <c r="Q23" t="str">
        <f t="shared" ca="1" si="7"/>
        <v/>
      </c>
      <c r="R23" t="str">
        <f t="shared" ca="1" si="8"/>
        <v/>
      </c>
      <c r="S23" t="str">
        <f ca="1">IF(R456&lt;&gt;"",R456)</f>
        <v>458</v>
      </c>
      <c r="T23">
        <f t="shared" ca="1" si="9"/>
        <v>36</v>
      </c>
      <c r="V23">
        <v>2</v>
      </c>
      <c r="W23" t="str">
        <f t="shared" si="10"/>
        <v/>
      </c>
    </row>
    <row r="24" spans="1:23" outlineLevel="2" x14ac:dyDescent="0.3">
      <c r="A24">
        <v>-85.61</v>
      </c>
      <c r="C24">
        <v>3</v>
      </c>
      <c r="D24">
        <v>15</v>
      </c>
      <c r="F24">
        <v>3</v>
      </c>
      <c r="G24">
        <v>19</v>
      </c>
      <c r="I24" t="str">
        <f t="shared" si="2"/>
        <v/>
      </c>
      <c r="J24" t="str">
        <f t="shared" si="3"/>
        <v/>
      </c>
      <c r="K24" t="e">
        <f t="shared" si="11"/>
        <v>#N/A</v>
      </c>
      <c r="L24">
        <f t="shared" si="4"/>
        <v>-85.61</v>
      </c>
      <c r="M24" t="str">
        <f t="shared" si="5"/>
        <v/>
      </c>
      <c r="N24" t="e">
        <f t="shared" si="12"/>
        <v>#N/A</v>
      </c>
      <c r="P24">
        <f t="shared" si="6"/>
        <v>2</v>
      </c>
      <c r="Q24" t="str">
        <f t="shared" ca="1" si="7"/>
        <v/>
      </c>
      <c r="R24" t="str">
        <f t="shared" ca="1" si="8"/>
        <v/>
      </c>
      <c r="S24" t="str">
        <f ca="1">IF(R492&lt;&gt;"",R492)</f>
        <v>494</v>
      </c>
      <c r="T24">
        <f t="shared" ca="1" si="9"/>
        <v>16</v>
      </c>
      <c r="V24">
        <v>2</v>
      </c>
      <c r="W24" t="str">
        <f t="shared" si="10"/>
        <v/>
      </c>
    </row>
    <row r="25" spans="1:23" outlineLevel="2" x14ac:dyDescent="0.3">
      <c r="A25">
        <v>-65.55</v>
      </c>
      <c r="C25">
        <v>4</v>
      </c>
      <c r="D25">
        <v>14</v>
      </c>
      <c r="F25">
        <v>4</v>
      </c>
      <c r="G25">
        <v>14</v>
      </c>
      <c r="I25" t="str">
        <f t="shared" si="2"/>
        <v/>
      </c>
      <c r="J25" t="str">
        <f t="shared" si="3"/>
        <v/>
      </c>
      <c r="K25" t="e">
        <f t="shared" si="11"/>
        <v>#N/A</v>
      </c>
      <c r="L25">
        <f t="shared" si="4"/>
        <v>-65.55</v>
      </c>
      <c r="M25" t="str">
        <f t="shared" si="5"/>
        <v/>
      </c>
      <c r="N25" t="e">
        <f t="shared" si="12"/>
        <v>#N/A</v>
      </c>
      <c r="P25">
        <f t="shared" si="6"/>
        <v>2</v>
      </c>
      <c r="Q25" t="str">
        <f t="shared" ca="1" si="7"/>
        <v/>
      </c>
      <c r="R25" t="str">
        <f t="shared" ca="1" si="8"/>
        <v/>
      </c>
      <c r="S25" t="str">
        <f ca="1">IF(R509&lt;&gt;"",R509)</f>
        <v>510</v>
      </c>
      <c r="T25">
        <f t="shared" ca="1" si="9"/>
        <v>4</v>
      </c>
      <c r="V25">
        <v>2</v>
      </c>
      <c r="W25" t="str">
        <f t="shared" si="10"/>
        <v/>
      </c>
    </row>
    <row r="26" spans="1:23" outlineLevel="2" x14ac:dyDescent="0.3">
      <c r="A26">
        <v>-44.91</v>
      </c>
      <c r="C26">
        <v>5</v>
      </c>
      <c r="D26">
        <v>10</v>
      </c>
      <c r="F26">
        <v>5</v>
      </c>
      <c r="G26">
        <v>15</v>
      </c>
      <c r="I26" t="str">
        <f t="shared" si="2"/>
        <v/>
      </c>
      <c r="J26" t="str">
        <f>IF(AND(I27&gt;I26,I27&gt;I29,I27&gt;$D$5),I27,"")</f>
        <v/>
      </c>
      <c r="K26" t="e">
        <f t="shared" si="11"/>
        <v>#N/A</v>
      </c>
      <c r="L26">
        <f t="shared" si="4"/>
        <v>-44.91</v>
      </c>
      <c r="M26" t="str">
        <f>IF(AND(L27&lt;L26,L27&lt;L29,L27&lt;$G$5),L27,"")</f>
        <v/>
      </c>
      <c r="N26" t="e">
        <f t="shared" si="12"/>
        <v>#N/A</v>
      </c>
      <c r="P26">
        <f t="shared" si="6"/>
        <v>2</v>
      </c>
      <c r="Q26" t="str">
        <f t="shared" ca="1" si="7"/>
        <v/>
      </c>
      <c r="R26" t="str">
        <f t="shared" ca="1" si="8"/>
        <v/>
      </c>
      <c r="S26" t="str">
        <f ca="1">IF(R512&lt;&gt;"",R512)</f>
        <v>514</v>
      </c>
      <c r="T26">
        <f t="shared" ca="1" si="9"/>
        <v>15</v>
      </c>
      <c r="V26">
        <v>2</v>
      </c>
      <c r="W26" t="str">
        <f t="shared" si="10"/>
        <v/>
      </c>
    </row>
    <row r="27" spans="1:23" outlineLevel="2" x14ac:dyDescent="0.3">
      <c r="A27">
        <v>-25.1</v>
      </c>
      <c r="C27">
        <v>6</v>
      </c>
      <c r="D27">
        <v>9</v>
      </c>
      <c r="F27">
        <v>6</v>
      </c>
      <c r="G27">
        <v>9</v>
      </c>
      <c r="I27" t="str">
        <f t="shared" si="2"/>
        <v/>
      </c>
      <c r="J27" t="str">
        <f>IF(AND(I29&gt;I27,I29&gt;I30,I29&gt;$D$5),I29,"")</f>
        <v/>
      </c>
      <c r="K27" t="e">
        <f t="shared" si="11"/>
        <v>#N/A</v>
      </c>
      <c r="L27">
        <f t="shared" si="4"/>
        <v>-25.1</v>
      </c>
      <c r="M27" t="str">
        <f>IF(AND(L29&lt;L27,L29&lt;L30,L29&lt;$G$5),L29,"")</f>
        <v/>
      </c>
      <c r="N27" t="e">
        <f t="shared" si="12"/>
        <v>#N/A</v>
      </c>
      <c r="P27">
        <f t="shared" si="6"/>
        <v>2</v>
      </c>
      <c r="Q27">
        <f ca="1">IF(AND(A29&gt;=0,A27&lt;0),CELL("ROW",A29),IF(AND(A29&lt;0,A27&gt;=0),CELL("ROW",A29),""))</f>
        <v>29</v>
      </c>
      <c r="R27" t="str">
        <f t="shared" ca="1" si="8"/>
        <v>29</v>
      </c>
      <c r="S27" t="str">
        <f ca="1">IF(R527&lt;&gt;"",R527)</f>
        <v>529</v>
      </c>
      <c r="T27">
        <f ca="1">S29-S27</f>
        <v>36</v>
      </c>
      <c r="V27">
        <v>2</v>
      </c>
      <c r="W27" t="str">
        <f t="shared" si="10"/>
        <v/>
      </c>
    </row>
    <row r="28" spans="1:23" outlineLevel="1" x14ac:dyDescent="0.3">
      <c r="O28" s="1" t="s">
        <v>27</v>
      </c>
      <c r="P28">
        <f>SUBTOTAL(3,P13:P27)</f>
        <v>15</v>
      </c>
      <c r="V28">
        <v>15</v>
      </c>
      <c r="W28">
        <f t="shared" si="10"/>
        <v>15</v>
      </c>
    </row>
    <row r="29" spans="1:23" outlineLevel="2" x14ac:dyDescent="0.3">
      <c r="A29">
        <v>12.54</v>
      </c>
      <c r="I29">
        <f t="shared" si="2"/>
        <v>12.54</v>
      </c>
      <c r="J29" t="str">
        <f t="shared" si="3"/>
        <v/>
      </c>
      <c r="K29" t="e">
        <f t="shared" ref="K29:K62" si="13">MATCH(J29,$A$1:$A$10041,0)</f>
        <v>#N/A</v>
      </c>
      <c r="L29" t="str">
        <f t="shared" si="4"/>
        <v/>
      </c>
      <c r="M29" t="str">
        <f t="shared" si="5"/>
        <v/>
      </c>
      <c r="N29" t="e">
        <f t="shared" ref="N29:N62" si="14">MATCH(M29,$A$1:$A$10041,0)</f>
        <v>#N/A</v>
      </c>
      <c r="P29">
        <f t="shared" si="6"/>
        <v>1</v>
      </c>
      <c r="Q29" t="str">
        <f t="shared" ca="1" si="7"/>
        <v/>
      </c>
      <c r="R29" t="str">
        <f t="shared" ca="1" si="8"/>
        <v/>
      </c>
      <c r="S29" t="str">
        <f ca="1">IF(R563&lt;&gt;"",R563)</f>
        <v>565</v>
      </c>
      <c r="T29">
        <f t="shared" ca="1" si="9"/>
        <v>30</v>
      </c>
      <c r="V29">
        <v>1</v>
      </c>
      <c r="W29" t="str">
        <f t="shared" si="10"/>
        <v/>
      </c>
    </row>
    <row r="30" spans="1:23" outlineLevel="2" x14ac:dyDescent="0.3">
      <c r="A30">
        <v>22.12</v>
      </c>
      <c r="C30" t="s">
        <v>31</v>
      </c>
      <c r="D30" t="s">
        <v>32</v>
      </c>
      <c r="I30">
        <f t="shared" si="2"/>
        <v>22.12</v>
      </c>
      <c r="J30" t="str">
        <f t="shared" si="3"/>
        <v/>
      </c>
      <c r="K30" t="e">
        <f t="shared" si="13"/>
        <v>#N/A</v>
      </c>
      <c r="L30" t="str">
        <f t="shared" si="4"/>
        <v/>
      </c>
      <c r="M30" t="str">
        <f t="shared" si="5"/>
        <v/>
      </c>
      <c r="N30" t="e">
        <f t="shared" si="14"/>
        <v>#N/A</v>
      </c>
      <c r="P30">
        <f t="shared" si="6"/>
        <v>1</v>
      </c>
      <c r="Q30" t="str">
        <f t="shared" ca="1" si="7"/>
        <v/>
      </c>
      <c r="R30" t="str">
        <f t="shared" ca="1" si="8"/>
        <v/>
      </c>
      <c r="S30" t="str">
        <f ca="1">IF(R593&lt;&gt;"",R593)</f>
        <v>595</v>
      </c>
      <c r="T30">
        <f t="shared" ca="1" si="9"/>
        <v>40</v>
      </c>
      <c r="V30">
        <v>1</v>
      </c>
      <c r="W30" t="str">
        <f t="shared" si="10"/>
        <v/>
      </c>
    </row>
    <row r="31" spans="1:23" outlineLevel="2" x14ac:dyDescent="0.3">
      <c r="A31">
        <v>29.62</v>
      </c>
      <c r="C31">
        <f>0.5*D9*D22</f>
        <v>1060.3499999999999</v>
      </c>
      <c r="D31">
        <v>1757.85</v>
      </c>
      <c r="I31">
        <f t="shared" si="2"/>
        <v>29.62</v>
      </c>
      <c r="J31" t="str">
        <f t="shared" si="3"/>
        <v/>
      </c>
      <c r="K31" t="e">
        <f t="shared" si="13"/>
        <v>#N/A</v>
      </c>
      <c r="L31" t="str">
        <f t="shared" si="4"/>
        <v/>
      </c>
      <c r="M31" t="str">
        <f t="shared" si="5"/>
        <v/>
      </c>
      <c r="N31" t="e">
        <f t="shared" si="14"/>
        <v>#N/A</v>
      </c>
      <c r="P31">
        <f t="shared" si="6"/>
        <v>1</v>
      </c>
      <c r="Q31" t="str">
        <f t="shared" ca="1" si="7"/>
        <v/>
      </c>
      <c r="R31" t="str">
        <f t="shared" ca="1" si="8"/>
        <v/>
      </c>
      <c r="S31" t="str">
        <f ca="1">IF(R633&lt;&gt;"",R633)</f>
        <v>635</v>
      </c>
      <c r="T31">
        <f t="shared" ca="1" si="9"/>
        <v>57</v>
      </c>
      <c r="V31">
        <v>1</v>
      </c>
      <c r="W31" t="str">
        <f t="shared" si="10"/>
        <v/>
      </c>
    </row>
    <row r="32" spans="1:23" outlineLevel="2" x14ac:dyDescent="0.3">
      <c r="A32">
        <v>33.909999999999997</v>
      </c>
      <c r="C32">
        <f t="shared" ref="C32:C37" si="15">0.5*D10*D23</f>
        <v>1517.04</v>
      </c>
      <c r="D32">
        <v>866.11500000000001</v>
      </c>
      <c r="I32">
        <f t="shared" si="2"/>
        <v>33.909999999999997</v>
      </c>
      <c r="J32" t="str">
        <f t="shared" si="3"/>
        <v/>
      </c>
      <c r="K32" t="e">
        <f t="shared" si="13"/>
        <v>#N/A</v>
      </c>
      <c r="L32" t="str">
        <f t="shared" si="4"/>
        <v/>
      </c>
      <c r="M32" t="str">
        <f t="shared" si="5"/>
        <v/>
      </c>
      <c r="N32" t="e">
        <f t="shared" si="14"/>
        <v>#N/A</v>
      </c>
      <c r="P32">
        <f t="shared" si="6"/>
        <v>1</v>
      </c>
      <c r="Q32" t="str">
        <f t="shared" ca="1" si="7"/>
        <v/>
      </c>
      <c r="R32" t="str">
        <f t="shared" ca="1" si="8"/>
        <v/>
      </c>
      <c r="S32" t="str">
        <f ca="1">IF(R690&lt;&gt;"",R690)</f>
        <v>692</v>
      </c>
      <c r="T32">
        <f t="shared" ca="1" si="9"/>
        <v>18</v>
      </c>
      <c r="V32">
        <v>1</v>
      </c>
      <c r="W32" t="str">
        <f t="shared" si="10"/>
        <v/>
      </c>
    </row>
    <row r="33" spans="1:23" outlineLevel="2" x14ac:dyDescent="0.3">
      <c r="A33">
        <v>36.090000000000003</v>
      </c>
      <c r="C33">
        <f t="shared" si="15"/>
        <v>1523.175</v>
      </c>
      <c r="D33">
        <v>1924.1299999999999</v>
      </c>
      <c r="I33">
        <f t="shared" si="2"/>
        <v>36.090000000000003</v>
      </c>
      <c r="J33" t="str">
        <f t="shared" si="3"/>
        <v/>
      </c>
      <c r="K33" t="e">
        <f t="shared" si="13"/>
        <v>#N/A</v>
      </c>
      <c r="L33" t="str">
        <f t="shared" si="4"/>
        <v/>
      </c>
      <c r="M33" t="str">
        <f t="shared" si="5"/>
        <v/>
      </c>
      <c r="N33" t="e">
        <f t="shared" si="14"/>
        <v>#N/A</v>
      </c>
      <c r="P33">
        <f t="shared" si="6"/>
        <v>1</v>
      </c>
      <c r="Q33" t="str">
        <f t="shared" ca="1" si="7"/>
        <v/>
      </c>
      <c r="R33" t="str">
        <f t="shared" ca="1" si="8"/>
        <v/>
      </c>
      <c r="S33" t="str">
        <f ca="1">IF(R709&lt;&gt;"",R709)</f>
        <v>710</v>
      </c>
      <c r="T33">
        <f t="shared" ca="1" si="9"/>
        <v>6</v>
      </c>
      <c r="V33">
        <v>1</v>
      </c>
      <c r="W33" t="str">
        <f t="shared" si="10"/>
        <v/>
      </c>
    </row>
    <row r="34" spans="1:23" outlineLevel="2" x14ac:dyDescent="0.3">
      <c r="A34">
        <v>38.049999999999997</v>
      </c>
      <c r="C34">
        <f t="shared" si="15"/>
        <v>0</v>
      </c>
      <c r="D34">
        <v>0</v>
      </c>
      <c r="I34">
        <f t="shared" si="2"/>
        <v>38.049999999999997</v>
      </c>
      <c r="J34" t="str">
        <f t="shared" si="3"/>
        <v/>
      </c>
      <c r="K34" t="e">
        <f t="shared" si="13"/>
        <v>#N/A</v>
      </c>
      <c r="L34" t="str">
        <f t="shared" si="4"/>
        <v/>
      </c>
      <c r="M34" t="str">
        <f t="shared" si="5"/>
        <v/>
      </c>
      <c r="N34" t="e">
        <f t="shared" si="14"/>
        <v>#N/A</v>
      </c>
      <c r="P34">
        <f t="shared" si="6"/>
        <v>1</v>
      </c>
      <c r="Q34" t="str">
        <f t="shared" ca="1" si="7"/>
        <v/>
      </c>
      <c r="R34" t="str">
        <f t="shared" ca="1" si="8"/>
        <v/>
      </c>
      <c r="S34" t="str">
        <f ca="1">IF(R714&lt;&gt;"",R714)</f>
        <v>716</v>
      </c>
      <c r="T34">
        <f t="shared" ca="1" si="9"/>
        <v>5</v>
      </c>
      <c r="V34">
        <v>1</v>
      </c>
      <c r="W34" t="str">
        <f t="shared" si="10"/>
        <v/>
      </c>
    </row>
    <row r="35" spans="1:23" outlineLevel="2" x14ac:dyDescent="0.3">
      <c r="A35">
        <v>39.700000000000003</v>
      </c>
      <c r="C35">
        <f t="shared" si="15"/>
        <v>1051.3500000000001</v>
      </c>
      <c r="D35">
        <v>1716.825</v>
      </c>
      <c r="I35">
        <f t="shared" si="2"/>
        <v>39.700000000000003</v>
      </c>
      <c r="J35" t="str">
        <f t="shared" si="3"/>
        <v/>
      </c>
      <c r="K35" t="e">
        <f t="shared" si="13"/>
        <v>#N/A</v>
      </c>
      <c r="L35" t="str">
        <f t="shared" si="4"/>
        <v/>
      </c>
      <c r="M35" t="str">
        <f t="shared" si="5"/>
        <v/>
      </c>
      <c r="N35" t="e">
        <f t="shared" si="14"/>
        <v>#N/A</v>
      </c>
      <c r="P35">
        <f t="shared" si="6"/>
        <v>1</v>
      </c>
      <c r="Q35" t="str">
        <f t="shared" ca="1" si="7"/>
        <v/>
      </c>
      <c r="R35" t="str">
        <f t="shared" ca="1" si="8"/>
        <v/>
      </c>
      <c r="S35" t="str">
        <f ca="1">IF(R720&lt;&gt;"",R720)</f>
        <v>721</v>
      </c>
      <c r="T35">
        <f t="shared" ca="1" si="9"/>
        <v>10</v>
      </c>
      <c r="V35">
        <v>1</v>
      </c>
      <c r="W35" t="str">
        <f t="shared" si="10"/>
        <v/>
      </c>
    </row>
    <row r="36" spans="1:23" outlineLevel="2" x14ac:dyDescent="0.3">
      <c r="A36">
        <v>40.1</v>
      </c>
      <c r="C36">
        <f t="shared" si="15"/>
        <v>989.82</v>
      </c>
      <c r="D36">
        <v>0</v>
      </c>
      <c r="I36">
        <f t="shared" si="2"/>
        <v>40.1</v>
      </c>
      <c r="J36" t="str">
        <f t="shared" si="3"/>
        <v/>
      </c>
      <c r="K36" t="e">
        <f t="shared" si="13"/>
        <v>#N/A</v>
      </c>
      <c r="L36" t="str">
        <f t="shared" si="4"/>
        <v/>
      </c>
      <c r="M36" t="str">
        <f t="shared" si="5"/>
        <v/>
      </c>
      <c r="N36" t="e">
        <f t="shared" si="14"/>
        <v>#N/A</v>
      </c>
      <c r="P36">
        <f t="shared" si="6"/>
        <v>1</v>
      </c>
      <c r="Q36" t="str">
        <f t="shared" ca="1" si="7"/>
        <v/>
      </c>
      <c r="R36" t="str">
        <f t="shared" ca="1" si="8"/>
        <v/>
      </c>
      <c r="S36" t="str">
        <f ca="1">IF(R729&lt;&gt;"",R729)</f>
        <v>731</v>
      </c>
      <c r="T36">
        <f t="shared" ca="1" si="9"/>
        <v>43</v>
      </c>
      <c r="V36">
        <v>1</v>
      </c>
      <c r="W36" t="str">
        <f t="shared" si="10"/>
        <v/>
      </c>
    </row>
    <row r="37" spans="1:23" outlineLevel="2" x14ac:dyDescent="0.3">
      <c r="A37">
        <v>38.57</v>
      </c>
      <c r="C37">
        <f t="shared" si="15"/>
        <v>0</v>
      </c>
      <c r="D37">
        <v>0</v>
      </c>
      <c r="I37">
        <f t="shared" si="2"/>
        <v>38.57</v>
      </c>
      <c r="J37" t="str">
        <f t="shared" si="3"/>
        <v/>
      </c>
      <c r="K37" t="e">
        <f t="shared" si="13"/>
        <v>#N/A</v>
      </c>
      <c r="L37" t="str">
        <f t="shared" si="4"/>
        <v/>
      </c>
      <c r="M37" t="str">
        <f t="shared" si="5"/>
        <v/>
      </c>
      <c r="N37" t="e">
        <f t="shared" si="14"/>
        <v>#N/A</v>
      </c>
      <c r="P37">
        <f t="shared" si="6"/>
        <v>1</v>
      </c>
      <c r="Q37" t="str">
        <f t="shared" ca="1" si="7"/>
        <v/>
      </c>
      <c r="R37" t="str">
        <f t="shared" ca="1" si="8"/>
        <v/>
      </c>
      <c r="S37" t="str">
        <f ca="1">IF(R772&lt;&gt;"",R772)</f>
        <v>774</v>
      </c>
      <c r="T37">
        <f t="shared" ca="1" si="9"/>
        <v>41</v>
      </c>
      <c r="V37">
        <v>1</v>
      </c>
      <c r="W37" t="str">
        <f t="shared" si="10"/>
        <v/>
      </c>
    </row>
    <row r="38" spans="1:23" outlineLevel="2" x14ac:dyDescent="0.3">
      <c r="A38">
        <v>36</v>
      </c>
      <c r="I38">
        <f t="shared" si="2"/>
        <v>36</v>
      </c>
      <c r="J38" t="str">
        <f t="shared" si="3"/>
        <v/>
      </c>
      <c r="K38" t="e">
        <f t="shared" si="13"/>
        <v>#N/A</v>
      </c>
      <c r="L38" t="str">
        <f t="shared" si="4"/>
        <v/>
      </c>
      <c r="M38" t="str">
        <f t="shared" si="5"/>
        <v/>
      </c>
      <c r="N38" t="e">
        <f t="shared" si="14"/>
        <v>#N/A</v>
      </c>
      <c r="P38">
        <f t="shared" si="6"/>
        <v>1</v>
      </c>
      <c r="Q38" t="str">
        <f t="shared" ca="1" si="7"/>
        <v/>
      </c>
      <c r="R38" t="str">
        <f t="shared" ca="1" si="8"/>
        <v/>
      </c>
      <c r="S38" t="str">
        <f ca="1">IF(R813&lt;&gt;"",R813)</f>
        <v>815</v>
      </c>
      <c r="T38">
        <f t="shared" ca="1" si="9"/>
        <v>24</v>
      </c>
      <c r="V38">
        <v>1</v>
      </c>
      <c r="W38" t="str">
        <f t="shared" si="10"/>
        <v/>
      </c>
    </row>
    <row r="39" spans="1:23" outlineLevel="2" x14ac:dyDescent="0.3">
      <c r="A39">
        <v>32.47</v>
      </c>
      <c r="I39">
        <f t="shared" si="2"/>
        <v>32.47</v>
      </c>
      <c r="J39" t="str">
        <f t="shared" si="3"/>
        <v/>
      </c>
      <c r="K39" t="e">
        <f t="shared" si="13"/>
        <v>#N/A</v>
      </c>
      <c r="L39" t="str">
        <f t="shared" si="4"/>
        <v/>
      </c>
      <c r="M39" t="str">
        <f t="shared" si="5"/>
        <v/>
      </c>
      <c r="N39" t="e">
        <f t="shared" si="14"/>
        <v>#N/A</v>
      </c>
      <c r="P39">
        <f t="shared" si="6"/>
        <v>1</v>
      </c>
      <c r="Q39" t="str">
        <f t="shared" ca="1" si="7"/>
        <v/>
      </c>
      <c r="R39" t="str">
        <f t="shared" ca="1" si="8"/>
        <v/>
      </c>
      <c r="S39" t="str">
        <f ca="1">IF(R837&lt;&gt;"",R837)</f>
        <v>839</v>
      </c>
      <c r="T39">
        <f t="shared" ca="1" si="9"/>
        <v>27</v>
      </c>
      <c r="V39">
        <v>1</v>
      </c>
      <c r="W39" t="str">
        <f t="shared" si="10"/>
        <v/>
      </c>
    </row>
    <row r="40" spans="1:23" outlineLevel="2" x14ac:dyDescent="0.3">
      <c r="A40">
        <v>27.8</v>
      </c>
      <c r="B40" t="s">
        <v>7</v>
      </c>
      <c r="C40" t="s">
        <v>33</v>
      </c>
      <c r="D40" t="s">
        <v>34</v>
      </c>
      <c r="I40">
        <f t="shared" si="2"/>
        <v>27.8</v>
      </c>
      <c r="J40" t="str">
        <f t="shared" si="3"/>
        <v/>
      </c>
      <c r="K40" t="e">
        <f t="shared" si="13"/>
        <v>#N/A</v>
      </c>
      <c r="L40" t="str">
        <f t="shared" si="4"/>
        <v/>
      </c>
      <c r="M40" t="str">
        <f t="shared" si="5"/>
        <v/>
      </c>
      <c r="N40" t="e">
        <f t="shared" si="14"/>
        <v>#N/A</v>
      </c>
      <c r="P40">
        <f t="shared" si="6"/>
        <v>1</v>
      </c>
      <c r="Q40" t="str">
        <f t="shared" ca="1" si="7"/>
        <v/>
      </c>
      <c r="R40" t="str">
        <f t="shared" ca="1" si="8"/>
        <v/>
      </c>
      <c r="S40" t="str">
        <f ca="1">IF(R864&lt;&gt;"",R864)</f>
        <v>866</v>
      </c>
      <c r="T40">
        <f t="shared" ca="1" si="9"/>
        <v>6</v>
      </c>
      <c r="V40">
        <v>1</v>
      </c>
      <c r="W40" t="str">
        <f t="shared" si="10"/>
        <v/>
      </c>
    </row>
    <row r="41" spans="1:23" outlineLevel="2" x14ac:dyDescent="0.3">
      <c r="A41">
        <v>24.48</v>
      </c>
      <c r="B41">
        <v>1</v>
      </c>
      <c r="C41">
        <v>17.672499999999999</v>
      </c>
      <c r="D41">
        <v>12.474705882352941</v>
      </c>
      <c r="I41">
        <f t="shared" si="2"/>
        <v>24.48</v>
      </c>
      <c r="J41" t="str">
        <f t="shared" si="3"/>
        <v/>
      </c>
      <c r="K41" t="e">
        <f t="shared" si="13"/>
        <v>#N/A</v>
      </c>
      <c r="L41" t="str">
        <f t="shared" si="4"/>
        <v/>
      </c>
      <c r="M41" t="str">
        <f t="shared" si="5"/>
        <v/>
      </c>
      <c r="N41" t="e">
        <f t="shared" si="14"/>
        <v>#N/A</v>
      </c>
      <c r="P41">
        <f t="shared" si="6"/>
        <v>1</v>
      </c>
      <c r="Q41" t="str">
        <f t="shared" ca="1" si="7"/>
        <v/>
      </c>
      <c r="R41" t="str">
        <f t="shared" ca="1" si="8"/>
        <v/>
      </c>
      <c r="S41" t="str">
        <f ca="1">IF(R871&lt;&gt;"",R871)</f>
        <v>872</v>
      </c>
      <c r="T41">
        <f t="shared" ca="1" si="9"/>
        <v>5</v>
      </c>
      <c r="V41">
        <v>1</v>
      </c>
      <c r="W41" t="str">
        <f t="shared" si="10"/>
        <v/>
      </c>
    </row>
    <row r="42" spans="1:23" outlineLevel="2" x14ac:dyDescent="0.3">
      <c r="A42">
        <v>24.38</v>
      </c>
      <c r="B42">
        <v>2</v>
      </c>
      <c r="C42">
        <v>12.641999999999999</v>
      </c>
      <c r="D42">
        <v>10.535</v>
      </c>
      <c r="I42">
        <f t="shared" si="2"/>
        <v>24.38</v>
      </c>
      <c r="J42" t="str">
        <f t="shared" si="3"/>
        <v/>
      </c>
      <c r="K42" t="e">
        <f t="shared" si="13"/>
        <v>#N/A</v>
      </c>
      <c r="L42" t="str">
        <f t="shared" si="4"/>
        <v/>
      </c>
      <c r="M42" t="str">
        <f t="shared" si="5"/>
        <v/>
      </c>
      <c r="N42" t="e">
        <f t="shared" si="14"/>
        <v>#N/A</v>
      </c>
      <c r="P42">
        <f t="shared" si="6"/>
        <v>1</v>
      </c>
      <c r="Q42" t="str">
        <f t="shared" ca="1" si="7"/>
        <v/>
      </c>
      <c r="R42" t="str">
        <f t="shared" ca="1" si="8"/>
        <v/>
      </c>
      <c r="S42" t="str">
        <f ca="1">IF(R875&lt;&gt;"",R875)</f>
        <v>877</v>
      </c>
      <c r="T42">
        <f t="shared" ca="1" si="9"/>
        <v>5</v>
      </c>
      <c r="V42">
        <v>1</v>
      </c>
      <c r="W42" t="str">
        <f t="shared" si="10"/>
        <v/>
      </c>
    </row>
    <row r="43" spans="1:23" outlineLevel="2" x14ac:dyDescent="0.3">
      <c r="A43">
        <v>24.52</v>
      </c>
      <c r="B43">
        <v>3</v>
      </c>
      <c r="C43">
        <v>18.462727272727275</v>
      </c>
      <c r="D43">
        <v>20.309000000000001</v>
      </c>
      <c r="I43">
        <f t="shared" si="2"/>
        <v>24.52</v>
      </c>
      <c r="J43" t="str">
        <f t="shared" si="3"/>
        <v/>
      </c>
      <c r="K43" t="e">
        <f t="shared" si="13"/>
        <v>#N/A</v>
      </c>
      <c r="L43" t="str">
        <f t="shared" si="4"/>
        <v/>
      </c>
      <c r="M43" t="str">
        <f t="shared" si="5"/>
        <v/>
      </c>
      <c r="N43" t="e">
        <f t="shared" si="14"/>
        <v>#N/A</v>
      </c>
      <c r="P43">
        <f t="shared" si="6"/>
        <v>1</v>
      </c>
      <c r="Q43" t="str">
        <f t="shared" ca="1" si="7"/>
        <v/>
      </c>
      <c r="R43" t="str">
        <f t="shared" ca="1" si="8"/>
        <v/>
      </c>
      <c r="S43" t="str">
        <f ca="1">IF(R881&lt;&gt;"",R881)</f>
        <v>882</v>
      </c>
      <c r="T43">
        <f t="shared" ca="1" si="9"/>
        <v>11</v>
      </c>
      <c r="V43">
        <v>1</v>
      </c>
      <c r="W43" t="str">
        <f t="shared" si="10"/>
        <v/>
      </c>
    </row>
    <row r="44" spans="1:23" outlineLevel="2" x14ac:dyDescent="0.3">
      <c r="A44">
        <v>22.95</v>
      </c>
      <c r="B44">
        <v>4</v>
      </c>
      <c r="C44" t="e">
        <v>#DIV/0!</v>
      </c>
      <c r="D44" t="e">
        <v>#DIV/0!</v>
      </c>
      <c r="I44">
        <f t="shared" si="2"/>
        <v>22.95</v>
      </c>
      <c r="J44" t="str">
        <f t="shared" si="3"/>
        <v/>
      </c>
      <c r="K44" t="e">
        <f t="shared" si="13"/>
        <v>#N/A</v>
      </c>
      <c r="L44" t="str">
        <f t="shared" si="4"/>
        <v/>
      </c>
      <c r="M44" t="str">
        <f t="shared" si="5"/>
        <v/>
      </c>
      <c r="N44" t="e">
        <f t="shared" si="14"/>
        <v>#N/A</v>
      </c>
      <c r="P44">
        <f t="shared" si="6"/>
        <v>1</v>
      </c>
      <c r="Q44" t="str">
        <f t="shared" ca="1" si="7"/>
        <v/>
      </c>
      <c r="R44" t="str">
        <f t="shared" ca="1" si="8"/>
        <v/>
      </c>
      <c r="S44" t="str">
        <f ca="1">IF(R891&lt;&gt;"",R891)</f>
        <v>893</v>
      </c>
      <c r="T44">
        <f t="shared" ca="1" si="9"/>
        <v>36</v>
      </c>
      <c r="V44">
        <v>1</v>
      </c>
      <c r="W44" t="str">
        <f t="shared" si="10"/>
        <v/>
      </c>
    </row>
    <row r="45" spans="1:23" outlineLevel="2" x14ac:dyDescent="0.3">
      <c r="A45">
        <v>22.27</v>
      </c>
      <c r="B45">
        <v>5</v>
      </c>
      <c r="C45" t="e">
        <v>#DIV/0!</v>
      </c>
      <c r="D45" t="e">
        <v>#DIV/0!</v>
      </c>
      <c r="I45">
        <f t="shared" si="2"/>
        <v>22.27</v>
      </c>
      <c r="J45" t="str">
        <f t="shared" si="3"/>
        <v/>
      </c>
      <c r="K45" t="e">
        <f t="shared" si="13"/>
        <v>#N/A</v>
      </c>
      <c r="L45" t="str">
        <f t="shared" si="4"/>
        <v/>
      </c>
      <c r="M45" t="str">
        <f t="shared" si="5"/>
        <v/>
      </c>
      <c r="N45" t="e">
        <f t="shared" si="14"/>
        <v>#N/A</v>
      </c>
      <c r="P45">
        <f t="shared" si="6"/>
        <v>1</v>
      </c>
      <c r="Q45" t="str">
        <f t="shared" ca="1" si="7"/>
        <v/>
      </c>
      <c r="R45" t="str">
        <f t="shared" ca="1" si="8"/>
        <v/>
      </c>
      <c r="S45" t="str">
        <f ca="1">IF(R927&lt;&gt;"",R927)</f>
        <v>929</v>
      </c>
      <c r="T45">
        <f t="shared" ca="1" si="9"/>
        <v>31</v>
      </c>
      <c r="V45">
        <v>1</v>
      </c>
      <c r="W45" t="str">
        <f t="shared" si="10"/>
        <v/>
      </c>
    </row>
    <row r="46" spans="1:23" outlineLevel="2" x14ac:dyDescent="0.3">
      <c r="A46">
        <v>23.03</v>
      </c>
      <c r="B46">
        <v>6</v>
      </c>
      <c r="C46" t="e">
        <v>#DIV/0!</v>
      </c>
      <c r="D46" t="e">
        <v>#DIV/0!</v>
      </c>
      <c r="I46">
        <f t="shared" si="2"/>
        <v>23.03</v>
      </c>
      <c r="J46" t="str">
        <f t="shared" si="3"/>
        <v/>
      </c>
      <c r="K46" t="e">
        <f t="shared" si="13"/>
        <v>#N/A</v>
      </c>
      <c r="L46" t="str">
        <f t="shared" si="4"/>
        <v/>
      </c>
      <c r="M46" t="str">
        <f t="shared" si="5"/>
        <v/>
      </c>
      <c r="N46" t="e">
        <f t="shared" si="14"/>
        <v>#N/A</v>
      </c>
      <c r="P46">
        <f t="shared" si="6"/>
        <v>1</v>
      </c>
      <c r="Q46" t="str">
        <f t="shared" ca="1" si="7"/>
        <v/>
      </c>
      <c r="R46" t="str">
        <f t="shared" ca="1" si="8"/>
        <v/>
      </c>
      <c r="S46" t="str">
        <f ca="1">IF(R958&lt;&gt;"",R958)</f>
        <v>960</v>
      </c>
      <c r="T46">
        <f t="shared" ca="1" si="9"/>
        <v>45</v>
      </c>
      <c r="V46">
        <v>1</v>
      </c>
      <c r="W46" t="str">
        <f t="shared" si="10"/>
        <v/>
      </c>
    </row>
    <row r="47" spans="1:23" outlineLevel="2" x14ac:dyDescent="0.3">
      <c r="A47">
        <v>22.77</v>
      </c>
      <c r="I47">
        <f t="shared" si="2"/>
        <v>22.77</v>
      </c>
      <c r="J47" t="str">
        <f t="shared" si="3"/>
        <v/>
      </c>
      <c r="K47" t="e">
        <f t="shared" si="13"/>
        <v>#N/A</v>
      </c>
      <c r="L47" t="str">
        <f t="shared" si="4"/>
        <v/>
      </c>
      <c r="M47" t="str">
        <f t="shared" si="5"/>
        <v/>
      </c>
      <c r="N47" t="e">
        <f t="shared" si="14"/>
        <v>#N/A</v>
      </c>
      <c r="P47">
        <f t="shared" si="6"/>
        <v>1</v>
      </c>
      <c r="Q47" t="str">
        <f t="shared" ca="1" si="7"/>
        <v/>
      </c>
      <c r="R47" t="str">
        <f t="shared" ca="1" si="8"/>
        <v/>
      </c>
      <c r="S47" t="str">
        <f ca="1">IF(R1003&lt;&gt;"",R1003)</f>
        <v>1005</v>
      </c>
      <c r="T47">
        <f t="shared" ca="1" si="9"/>
        <v>45</v>
      </c>
      <c r="V47">
        <v>1</v>
      </c>
      <c r="W47" t="str">
        <f t="shared" si="10"/>
        <v/>
      </c>
    </row>
    <row r="48" spans="1:23" outlineLevel="2" x14ac:dyDescent="0.3">
      <c r="A48">
        <v>21.5</v>
      </c>
      <c r="E48" t="s">
        <v>7</v>
      </c>
      <c r="F48" t="s">
        <v>33</v>
      </c>
      <c r="G48" t="s">
        <v>34</v>
      </c>
      <c r="I48">
        <f t="shared" si="2"/>
        <v>21.5</v>
      </c>
      <c r="J48" t="str">
        <f t="shared" si="3"/>
        <v/>
      </c>
      <c r="K48" t="e">
        <f t="shared" si="13"/>
        <v>#N/A</v>
      </c>
      <c r="L48" t="str">
        <f t="shared" si="4"/>
        <v/>
      </c>
      <c r="M48" t="str">
        <f t="shared" si="5"/>
        <v/>
      </c>
      <c r="N48" t="e">
        <f t="shared" si="14"/>
        <v>#N/A</v>
      </c>
      <c r="P48">
        <f t="shared" si="6"/>
        <v>1</v>
      </c>
      <c r="Q48" t="str">
        <f t="shared" ca="1" si="7"/>
        <v/>
      </c>
      <c r="R48" t="str">
        <f t="shared" ca="1" si="8"/>
        <v/>
      </c>
      <c r="S48" t="str">
        <f ca="1">IF(R1048&lt;&gt;"",R1048)</f>
        <v>1050</v>
      </c>
      <c r="T48">
        <f t="shared" ca="1" si="9"/>
        <v>64</v>
      </c>
      <c r="V48">
        <v>1</v>
      </c>
      <c r="W48" t="str">
        <f t="shared" si="10"/>
        <v/>
      </c>
    </row>
    <row r="49" spans="1:23" outlineLevel="2" x14ac:dyDescent="0.3">
      <c r="A49">
        <v>20.93</v>
      </c>
      <c r="E49">
        <v>1</v>
      </c>
      <c r="F49">
        <v>-19.531666666666666</v>
      </c>
      <c r="G49">
        <v>-14.64875</v>
      </c>
      <c r="I49">
        <f t="shared" si="2"/>
        <v>20.93</v>
      </c>
      <c r="J49" t="str">
        <f t="shared" si="3"/>
        <v/>
      </c>
      <c r="K49" t="e">
        <f t="shared" si="13"/>
        <v>#N/A</v>
      </c>
      <c r="L49" t="str">
        <f t="shared" si="4"/>
        <v/>
      </c>
      <c r="M49" t="str">
        <f t="shared" si="5"/>
        <v/>
      </c>
      <c r="N49" t="e">
        <f t="shared" si="14"/>
        <v>#N/A</v>
      </c>
      <c r="P49">
        <f t="shared" si="6"/>
        <v>1</v>
      </c>
      <c r="Q49" t="str">
        <f t="shared" ca="1" si="7"/>
        <v/>
      </c>
      <c r="R49" t="str">
        <f t="shared" ca="1" si="8"/>
        <v/>
      </c>
      <c r="S49" t="str">
        <f ca="1">IF(R1112&lt;&gt;"",R1112)</f>
        <v>1114</v>
      </c>
      <c r="T49">
        <f t="shared" ca="1" si="9"/>
        <v>10</v>
      </c>
      <c r="V49">
        <v>1</v>
      </c>
      <c r="W49" t="str">
        <f t="shared" si="10"/>
        <v/>
      </c>
    </row>
    <row r="50" spans="1:23" outlineLevel="2" x14ac:dyDescent="0.3">
      <c r="A50">
        <v>21.24</v>
      </c>
      <c r="E50">
        <v>2</v>
      </c>
      <c r="F50">
        <v>-19.247</v>
      </c>
      <c r="G50">
        <v>-32.078333333333333</v>
      </c>
      <c r="I50">
        <f t="shared" si="2"/>
        <v>21.24</v>
      </c>
      <c r="J50" t="str">
        <f t="shared" si="3"/>
        <v/>
      </c>
      <c r="K50" t="e">
        <f t="shared" si="13"/>
        <v>#N/A</v>
      </c>
      <c r="L50" t="str">
        <f t="shared" si="4"/>
        <v/>
      </c>
      <c r="M50" t="str">
        <f t="shared" si="5"/>
        <v/>
      </c>
      <c r="N50" t="e">
        <f t="shared" si="14"/>
        <v>#N/A</v>
      </c>
      <c r="P50">
        <f t="shared" si="6"/>
        <v>1</v>
      </c>
      <c r="Q50" t="str">
        <f t="shared" ca="1" si="7"/>
        <v/>
      </c>
      <c r="R50" t="str">
        <f t="shared" ca="1" si="8"/>
        <v/>
      </c>
      <c r="S50" t="str">
        <f ca="1">IF(R1122&lt;&gt;"",R1122)</f>
        <v>1124</v>
      </c>
      <c r="T50">
        <f t="shared" ca="1" si="9"/>
        <v>-1124</v>
      </c>
      <c r="V50">
        <v>1</v>
      </c>
      <c r="W50" t="str">
        <f t="shared" si="10"/>
        <v/>
      </c>
    </row>
    <row r="51" spans="1:23" outlineLevel="2" x14ac:dyDescent="0.3">
      <c r="A51">
        <v>22.31</v>
      </c>
      <c r="E51">
        <v>3</v>
      </c>
      <c r="F51" t="e">
        <v>#DIV/0!</v>
      </c>
      <c r="G51" t="e">
        <v>#DIV/0!</v>
      </c>
      <c r="I51">
        <f t="shared" si="2"/>
        <v>22.31</v>
      </c>
      <c r="J51" t="str">
        <f t="shared" si="3"/>
        <v/>
      </c>
      <c r="K51" t="e">
        <f t="shared" si="13"/>
        <v>#N/A</v>
      </c>
      <c r="L51" t="str">
        <f t="shared" si="4"/>
        <v/>
      </c>
      <c r="M51" t="str">
        <f t="shared" si="5"/>
        <v/>
      </c>
      <c r="N51" t="e">
        <f t="shared" si="14"/>
        <v>#N/A</v>
      </c>
      <c r="P51">
        <f t="shared" si="6"/>
        <v>1</v>
      </c>
      <c r="Q51" t="str">
        <f t="shared" ca="1" si="7"/>
        <v/>
      </c>
      <c r="R51" t="str">
        <f t="shared" ca="1" si="8"/>
        <v/>
      </c>
      <c r="T51">
        <f t="shared" si="9"/>
        <v>0</v>
      </c>
      <c r="V51">
        <v>1</v>
      </c>
      <c r="W51" t="str">
        <f t="shared" si="10"/>
        <v/>
      </c>
    </row>
    <row r="52" spans="1:23" outlineLevel="2" x14ac:dyDescent="0.3">
      <c r="A52">
        <v>23.88</v>
      </c>
      <c r="E52">
        <v>4</v>
      </c>
      <c r="F52" t="e">
        <v>#DIV/0!</v>
      </c>
      <c r="G52" t="e">
        <v>#DIV/0!</v>
      </c>
      <c r="I52">
        <f t="shared" si="2"/>
        <v>23.88</v>
      </c>
      <c r="J52" t="str">
        <f t="shared" si="3"/>
        <v/>
      </c>
      <c r="K52" t="e">
        <f t="shared" si="13"/>
        <v>#N/A</v>
      </c>
      <c r="L52" t="str">
        <f t="shared" si="4"/>
        <v/>
      </c>
      <c r="M52" t="str">
        <f t="shared" si="5"/>
        <v/>
      </c>
      <c r="N52" t="e">
        <f t="shared" si="14"/>
        <v>#N/A</v>
      </c>
      <c r="P52">
        <f t="shared" si="6"/>
        <v>1</v>
      </c>
      <c r="Q52" t="str">
        <f t="shared" ca="1" si="7"/>
        <v/>
      </c>
      <c r="R52" t="str">
        <f t="shared" ca="1" si="8"/>
        <v/>
      </c>
      <c r="T52">
        <f t="shared" si="9"/>
        <v>0</v>
      </c>
      <c r="V52">
        <v>1</v>
      </c>
      <c r="W52" t="str">
        <f t="shared" si="10"/>
        <v/>
      </c>
    </row>
    <row r="53" spans="1:23" outlineLevel="2" x14ac:dyDescent="0.3">
      <c r="A53">
        <v>24.79</v>
      </c>
      <c r="E53">
        <v>5</v>
      </c>
      <c r="F53" t="e">
        <v>#DIV/0!</v>
      </c>
      <c r="G53" t="e">
        <v>#DIV/0!</v>
      </c>
      <c r="I53">
        <f t="shared" si="2"/>
        <v>24.79</v>
      </c>
      <c r="J53" t="str">
        <f t="shared" si="3"/>
        <v/>
      </c>
      <c r="K53" t="e">
        <f t="shared" si="13"/>
        <v>#N/A</v>
      </c>
      <c r="L53" t="str">
        <f t="shared" si="4"/>
        <v/>
      </c>
      <c r="M53" t="str">
        <f t="shared" si="5"/>
        <v/>
      </c>
      <c r="N53" t="e">
        <f t="shared" si="14"/>
        <v>#N/A</v>
      </c>
      <c r="P53">
        <f t="shared" si="6"/>
        <v>1</v>
      </c>
      <c r="Q53" t="str">
        <f t="shared" ca="1" si="7"/>
        <v/>
      </c>
      <c r="R53" t="str">
        <f t="shared" ca="1" si="8"/>
        <v/>
      </c>
      <c r="T53">
        <f t="shared" si="9"/>
        <v>0</v>
      </c>
      <c r="V53">
        <v>1</v>
      </c>
      <c r="W53" t="str">
        <f t="shared" si="10"/>
        <v/>
      </c>
    </row>
    <row r="54" spans="1:23" outlineLevel="2" x14ac:dyDescent="0.3">
      <c r="A54">
        <v>23.92</v>
      </c>
      <c r="E54">
        <v>6</v>
      </c>
      <c r="F54" t="e">
        <v>#DIV/0!</v>
      </c>
      <c r="G54" t="e">
        <v>#DIV/0!</v>
      </c>
      <c r="I54">
        <f t="shared" si="2"/>
        <v>23.92</v>
      </c>
      <c r="J54" t="str">
        <f t="shared" si="3"/>
        <v/>
      </c>
      <c r="K54" t="e">
        <f t="shared" si="13"/>
        <v>#N/A</v>
      </c>
      <c r="L54" t="str">
        <f t="shared" si="4"/>
        <v/>
      </c>
      <c r="M54" t="str">
        <f t="shared" si="5"/>
        <v/>
      </c>
      <c r="N54" t="e">
        <f t="shared" si="14"/>
        <v>#N/A</v>
      </c>
      <c r="P54">
        <f t="shared" si="6"/>
        <v>1</v>
      </c>
      <c r="Q54" t="str">
        <f t="shared" ca="1" si="7"/>
        <v/>
      </c>
      <c r="R54" t="str">
        <f t="shared" ca="1" si="8"/>
        <v/>
      </c>
      <c r="T54">
        <f t="shared" si="9"/>
        <v>0</v>
      </c>
      <c r="V54">
        <v>1</v>
      </c>
      <c r="W54" t="str">
        <f t="shared" si="10"/>
        <v/>
      </c>
    </row>
    <row r="55" spans="1:23" outlineLevel="2" x14ac:dyDescent="0.3">
      <c r="A55">
        <v>21.5</v>
      </c>
      <c r="I55">
        <f t="shared" si="2"/>
        <v>21.5</v>
      </c>
      <c r="J55" t="str">
        <f t="shared" si="3"/>
        <v/>
      </c>
      <c r="K55" t="e">
        <f t="shared" si="13"/>
        <v>#N/A</v>
      </c>
      <c r="L55" t="str">
        <f t="shared" si="4"/>
        <v/>
      </c>
      <c r="M55" t="str">
        <f t="shared" si="5"/>
        <v/>
      </c>
      <c r="N55" t="e">
        <f t="shared" si="14"/>
        <v>#N/A</v>
      </c>
      <c r="P55">
        <f t="shared" si="6"/>
        <v>1</v>
      </c>
      <c r="Q55" t="str">
        <f t="shared" ca="1" si="7"/>
        <v/>
      </c>
      <c r="R55" t="str">
        <f t="shared" ca="1" si="8"/>
        <v/>
      </c>
      <c r="T55">
        <f t="shared" si="9"/>
        <v>0</v>
      </c>
      <c r="V55">
        <v>1</v>
      </c>
      <c r="W55" t="str">
        <f t="shared" si="10"/>
        <v/>
      </c>
    </row>
    <row r="56" spans="1:23" outlineLevel="2" x14ac:dyDescent="0.3">
      <c r="A56">
        <v>18.489999999999998</v>
      </c>
      <c r="I56">
        <f t="shared" si="2"/>
        <v>18.489999999999998</v>
      </c>
      <c r="J56" t="str">
        <f t="shared" si="3"/>
        <v/>
      </c>
      <c r="K56" t="e">
        <f t="shared" si="13"/>
        <v>#N/A</v>
      </c>
      <c r="L56" t="str">
        <f t="shared" si="4"/>
        <v/>
      </c>
      <c r="M56" t="str">
        <f t="shared" si="5"/>
        <v/>
      </c>
      <c r="N56" t="e">
        <f t="shared" si="14"/>
        <v>#N/A</v>
      </c>
      <c r="P56">
        <f t="shared" si="6"/>
        <v>1</v>
      </c>
      <c r="Q56" t="str">
        <f t="shared" ca="1" si="7"/>
        <v/>
      </c>
      <c r="R56" t="str">
        <f t="shared" ca="1" si="8"/>
        <v/>
      </c>
      <c r="T56">
        <f t="shared" si="9"/>
        <v>0</v>
      </c>
      <c r="V56">
        <v>1</v>
      </c>
      <c r="W56" t="str">
        <f t="shared" si="10"/>
        <v/>
      </c>
    </row>
    <row r="57" spans="1:23" outlineLevel="2" x14ac:dyDescent="0.3">
      <c r="A57">
        <v>15.79</v>
      </c>
      <c r="B57" t="s">
        <v>7</v>
      </c>
      <c r="C57" t="s">
        <v>35</v>
      </c>
      <c r="E57" t="s">
        <v>36</v>
      </c>
      <c r="I57">
        <f t="shared" si="2"/>
        <v>15.79</v>
      </c>
      <c r="J57" t="str">
        <f t="shared" si="3"/>
        <v/>
      </c>
      <c r="K57" t="e">
        <f t="shared" si="13"/>
        <v>#N/A</v>
      </c>
      <c r="L57" t="str">
        <f t="shared" si="4"/>
        <v/>
      </c>
      <c r="M57" t="str">
        <f t="shared" si="5"/>
        <v/>
      </c>
      <c r="N57" t="e">
        <f t="shared" si="14"/>
        <v>#N/A</v>
      </c>
      <c r="P57">
        <f t="shared" si="6"/>
        <v>1</v>
      </c>
      <c r="Q57" t="str">
        <f t="shared" ca="1" si="7"/>
        <v/>
      </c>
      <c r="R57" t="str">
        <f t="shared" ca="1" si="8"/>
        <v/>
      </c>
      <c r="T57">
        <f t="shared" si="9"/>
        <v>0</v>
      </c>
      <c r="V57">
        <v>1</v>
      </c>
      <c r="W57" t="str">
        <f t="shared" si="10"/>
        <v/>
      </c>
    </row>
    <row r="58" spans="1:23" outlineLevel="2" x14ac:dyDescent="0.3">
      <c r="A58">
        <v>13.89</v>
      </c>
      <c r="B58">
        <v>1</v>
      </c>
      <c r="C58">
        <v>4497.3684899999998</v>
      </c>
      <c r="E58">
        <v>3662.2656266666668</v>
      </c>
      <c r="I58">
        <f t="shared" si="2"/>
        <v>13.89</v>
      </c>
      <c r="J58" t="str">
        <f t="shared" si="3"/>
        <v/>
      </c>
      <c r="K58" t="e">
        <f t="shared" si="13"/>
        <v>#N/A</v>
      </c>
      <c r="L58" t="str">
        <f t="shared" si="4"/>
        <v/>
      </c>
      <c r="M58" t="str">
        <f t="shared" si="5"/>
        <v/>
      </c>
      <c r="N58" t="e">
        <f t="shared" si="14"/>
        <v>#N/A</v>
      </c>
      <c r="P58">
        <f t="shared" si="6"/>
        <v>1</v>
      </c>
      <c r="Q58" t="str">
        <f t="shared" ca="1" si="7"/>
        <v/>
      </c>
      <c r="R58" t="str">
        <f t="shared" ca="1" si="8"/>
        <v/>
      </c>
      <c r="T58">
        <f t="shared" si="9"/>
        <v>0</v>
      </c>
      <c r="V58">
        <v>1</v>
      </c>
      <c r="W58" t="str">
        <f t="shared" si="10"/>
        <v/>
      </c>
    </row>
    <row r="59" spans="1:23" outlineLevel="2" x14ac:dyDescent="0.3">
      <c r="A59">
        <v>12.53</v>
      </c>
      <c r="B59">
        <v>2</v>
      </c>
      <c r="C59">
        <v>2247.4710562499999</v>
      </c>
      <c r="E59">
        <v>4116.0778777777778</v>
      </c>
      <c r="I59">
        <f t="shared" si="2"/>
        <v>12.53</v>
      </c>
      <c r="J59" t="str">
        <f t="shared" si="3"/>
        <v/>
      </c>
      <c r="K59" t="e">
        <f t="shared" si="13"/>
        <v>#N/A</v>
      </c>
      <c r="L59" t="str">
        <f t="shared" si="4"/>
        <v/>
      </c>
      <c r="M59" t="str">
        <f t="shared" si="5"/>
        <v/>
      </c>
      <c r="N59" t="e">
        <f t="shared" si="14"/>
        <v>#N/A</v>
      </c>
      <c r="P59">
        <f t="shared" si="6"/>
        <v>1</v>
      </c>
      <c r="Q59" t="str">
        <f t="shared" ca="1" si="7"/>
        <v/>
      </c>
      <c r="R59" t="str">
        <f t="shared" ca="1" si="8"/>
        <v/>
      </c>
      <c r="T59">
        <f t="shared" si="9"/>
        <v>0</v>
      </c>
      <c r="V59">
        <v>1</v>
      </c>
      <c r="W59" t="str">
        <f t="shared" si="10"/>
        <v/>
      </c>
    </row>
    <row r="60" spans="1:23" outlineLevel="2" x14ac:dyDescent="0.3">
      <c r="A60">
        <v>11</v>
      </c>
      <c r="B60">
        <v>3</v>
      </c>
      <c r="C60">
        <v>2749.7032066666666</v>
      </c>
      <c r="E60">
        <v>2159.0763999999999</v>
      </c>
      <c r="I60">
        <f t="shared" si="2"/>
        <v>11</v>
      </c>
      <c r="J60" t="str">
        <f t="shared" si="3"/>
        <v/>
      </c>
      <c r="K60" t="e">
        <f t="shared" si="13"/>
        <v>#N/A</v>
      </c>
      <c r="L60" t="str">
        <f t="shared" si="4"/>
        <v/>
      </c>
      <c r="M60" t="str">
        <f t="shared" si="5"/>
        <v/>
      </c>
      <c r="N60" t="e">
        <f t="shared" si="14"/>
        <v>#N/A</v>
      </c>
      <c r="P60">
        <f t="shared" si="6"/>
        <v>1</v>
      </c>
      <c r="Q60" t="str">
        <f t="shared" ca="1" si="7"/>
        <v/>
      </c>
      <c r="R60" t="str">
        <f t="shared" ca="1" si="8"/>
        <v/>
      </c>
      <c r="T60">
        <f t="shared" si="9"/>
        <v>0</v>
      </c>
      <c r="V60">
        <v>1</v>
      </c>
      <c r="W60" t="str">
        <f t="shared" si="10"/>
        <v/>
      </c>
    </row>
    <row r="61" spans="1:23" outlineLevel="2" x14ac:dyDescent="0.3">
      <c r="A61">
        <v>14</v>
      </c>
      <c r="B61">
        <v>4</v>
      </c>
      <c r="C61">
        <v>0</v>
      </c>
      <c r="E61">
        <v>0</v>
      </c>
      <c r="I61">
        <f t="shared" si="2"/>
        <v>14</v>
      </c>
      <c r="J61" t="str">
        <f>IF(AND(I62&gt;I61,I62&gt;I64,I62&gt;$D$5),I62,"")</f>
        <v/>
      </c>
      <c r="K61" t="e">
        <f t="shared" si="13"/>
        <v>#N/A</v>
      </c>
      <c r="L61" t="str">
        <f t="shared" si="4"/>
        <v/>
      </c>
      <c r="M61" t="str">
        <f>IF(AND(L62&lt;L61,L62&lt;L64,L62&lt;$G$5),L62,"")</f>
        <v/>
      </c>
      <c r="N61" t="e">
        <f t="shared" si="14"/>
        <v>#N/A</v>
      </c>
      <c r="P61">
        <f t="shared" si="6"/>
        <v>1</v>
      </c>
      <c r="Q61" t="str">
        <f t="shared" ca="1" si="7"/>
        <v/>
      </c>
      <c r="R61" t="str">
        <f t="shared" ca="1" si="8"/>
        <v/>
      </c>
      <c r="T61">
        <f t="shared" si="9"/>
        <v>0</v>
      </c>
      <c r="V61">
        <v>1</v>
      </c>
      <c r="W61" t="str">
        <f t="shared" si="10"/>
        <v/>
      </c>
    </row>
    <row r="62" spans="1:23" outlineLevel="2" x14ac:dyDescent="0.3">
      <c r="A62">
        <v>14.25</v>
      </c>
      <c r="B62">
        <v>5</v>
      </c>
      <c r="C62">
        <v>4421.3472900000006</v>
      </c>
      <c r="E62">
        <v>3493.3192066666666</v>
      </c>
      <c r="I62">
        <f t="shared" si="2"/>
        <v>14.25</v>
      </c>
      <c r="J62" t="str">
        <f>IF(AND(I64&gt;I62,I64&gt;I65,I64&gt;$D$5),I64,"")</f>
        <v/>
      </c>
      <c r="K62" t="e">
        <f t="shared" si="13"/>
        <v>#N/A</v>
      </c>
      <c r="L62" t="str">
        <f t="shared" si="4"/>
        <v/>
      </c>
      <c r="M62" t="str">
        <f>IF(AND(L64&lt;L62,L64&lt;L65,L64&lt;$G$5),L64,"")</f>
        <v/>
      </c>
      <c r="N62" t="e">
        <f t="shared" si="14"/>
        <v>#N/A</v>
      </c>
      <c r="P62">
        <f t="shared" si="6"/>
        <v>1</v>
      </c>
      <c r="Q62">
        <f ca="1">IF(AND(A64&gt;=0,A62&lt;0),CELL("ROW",A64),IF(AND(A64&lt;0,A62&gt;=0),CELL("ROW",A64),""))</f>
        <v>64</v>
      </c>
      <c r="R62" t="str">
        <f t="shared" ca="1" si="8"/>
        <v>64</v>
      </c>
      <c r="T62">
        <f>S64-S62</f>
        <v>0</v>
      </c>
      <c r="V62">
        <v>1</v>
      </c>
      <c r="W62" t="str">
        <f t="shared" si="10"/>
        <v/>
      </c>
    </row>
    <row r="63" spans="1:23" outlineLevel="1" x14ac:dyDescent="0.3">
      <c r="B63">
        <v>6</v>
      </c>
      <c r="C63">
        <v>5375.8224000000009</v>
      </c>
      <c r="E63">
        <v>0</v>
      </c>
      <c r="O63" s="1" t="s">
        <v>26</v>
      </c>
      <c r="P63">
        <f>SUBTOTAL(3,P29:P62)</f>
        <v>34</v>
      </c>
      <c r="V63">
        <v>34</v>
      </c>
      <c r="W63" t="str">
        <f t="shared" si="10"/>
        <v/>
      </c>
    </row>
    <row r="64" spans="1:23" outlineLevel="2" x14ac:dyDescent="0.3">
      <c r="A64">
        <v>-13.65</v>
      </c>
      <c r="I64" t="str">
        <f t="shared" si="2"/>
        <v/>
      </c>
      <c r="J64" t="str">
        <f t="shared" si="3"/>
        <v/>
      </c>
      <c r="K64" t="e">
        <f t="shared" ref="K64:K93" si="16">MATCH(J64,$A$1:$A$10041,0)</f>
        <v>#N/A</v>
      </c>
      <c r="L64">
        <f t="shared" si="4"/>
        <v>-13.65</v>
      </c>
      <c r="M64" t="str">
        <f t="shared" si="5"/>
        <v/>
      </c>
      <c r="N64" t="e">
        <f t="shared" ref="N64:N93" si="17">MATCH(M64,$A$1:$A$10041,0)</f>
        <v>#N/A</v>
      </c>
      <c r="P64">
        <f t="shared" si="6"/>
        <v>2</v>
      </c>
      <c r="Q64" t="str">
        <f t="shared" ca="1" si="7"/>
        <v/>
      </c>
      <c r="R64" t="str">
        <f t="shared" ca="1" si="8"/>
        <v/>
      </c>
      <c r="T64">
        <f t="shared" si="9"/>
        <v>0</v>
      </c>
      <c r="V64">
        <v>2</v>
      </c>
      <c r="W64" t="str">
        <f t="shared" si="10"/>
        <v/>
      </c>
    </row>
    <row r="65" spans="1:23" outlineLevel="2" x14ac:dyDescent="0.3">
      <c r="A65">
        <v>-19.649999999999999</v>
      </c>
      <c r="I65" t="str">
        <f t="shared" si="2"/>
        <v/>
      </c>
      <c r="J65" t="str">
        <f t="shared" si="3"/>
        <v/>
      </c>
      <c r="K65" t="e">
        <f t="shared" si="16"/>
        <v>#N/A</v>
      </c>
      <c r="L65">
        <f t="shared" si="4"/>
        <v>-19.649999999999999</v>
      </c>
      <c r="M65" t="str">
        <f t="shared" si="5"/>
        <v/>
      </c>
      <c r="N65" t="e">
        <f t="shared" si="17"/>
        <v>#N/A</v>
      </c>
      <c r="P65">
        <f t="shared" si="6"/>
        <v>2</v>
      </c>
      <c r="Q65" t="str">
        <f t="shared" ca="1" si="7"/>
        <v/>
      </c>
      <c r="R65" t="str">
        <f t="shared" ca="1" si="8"/>
        <v/>
      </c>
      <c r="T65">
        <f t="shared" si="9"/>
        <v>0</v>
      </c>
      <c r="V65">
        <v>2</v>
      </c>
      <c r="W65" t="str">
        <f t="shared" si="10"/>
        <v/>
      </c>
    </row>
    <row r="66" spans="1:23" outlineLevel="2" x14ac:dyDescent="0.3">
      <c r="A66">
        <v>-21.71</v>
      </c>
      <c r="I66" t="str">
        <f t="shared" si="2"/>
        <v/>
      </c>
      <c r="J66" t="str">
        <f t="shared" si="3"/>
        <v/>
      </c>
      <c r="K66" t="e">
        <f t="shared" si="16"/>
        <v>#N/A</v>
      </c>
      <c r="L66">
        <f t="shared" si="4"/>
        <v>-21.71</v>
      </c>
      <c r="M66" t="str">
        <f t="shared" si="5"/>
        <v/>
      </c>
      <c r="N66" t="e">
        <f t="shared" si="17"/>
        <v>#N/A</v>
      </c>
      <c r="P66">
        <f t="shared" si="6"/>
        <v>2</v>
      </c>
      <c r="Q66" t="str">
        <f t="shared" ca="1" si="7"/>
        <v/>
      </c>
      <c r="R66" t="str">
        <f t="shared" ca="1" si="8"/>
        <v/>
      </c>
      <c r="T66">
        <f t="shared" si="9"/>
        <v>0</v>
      </c>
      <c r="V66">
        <v>2</v>
      </c>
      <c r="W66" t="str">
        <f t="shared" si="10"/>
        <v/>
      </c>
    </row>
    <row r="67" spans="1:23" outlineLevel="2" x14ac:dyDescent="0.3">
      <c r="A67">
        <v>-23.1</v>
      </c>
      <c r="I67" t="str">
        <f t="shared" si="2"/>
        <v/>
      </c>
      <c r="J67" t="str">
        <f t="shared" si="3"/>
        <v/>
      </c>
      <c r="K67" t="e">
        <f t="shared" si="16"/>
        <v>#N/A</v>
      </c>
      <c r="L67">
        <f t="shared" si="4"/>
        <v>-23.1</v>
      </c>
      <c r="M67" t="str">
        <f t="shared" si="5"/>
        <v/>
      </c>
      <c r="N67" t="e">
        <f t="shared" si="17"/>
        <v>#N/A</v>
      </c>
      <c r="P67">
        <f t="shared" si="6"/>
        <v>2</v>
      </c>
      <c r="Q67" t="str">
        <f t="shared" ca="1" si="7"/>
        <v/>
      </c>
      <c r="R67" t="str">
        <f t="shared" ca="1" si="8"/>
        <v/>
      </c>
      <c r="T67">
        <f t="shared" si="9"/>
        <v>0</v>
      </c>
      <c r="V67">
        <v>2</v>
      </c>
      <c r="W67" t="str">
        <f t="shared" ref="W67:W130" si="18">IF(AND(V67&gt;2,V67&lt;20),V67,"")</f>
        <v/>
      </c>
    </row>
    <row r="68" spans="1:23" outlineLevel="2" x14ac:dyDescent="0.3">
      <c r="A68">
        <v>-26.85</v>
      </c>
      <c r="I68" t="str">
        <f t="shared" si="2"/>
        <v/>
      </c>
      <c r="J68" t="str">
        <f t="shared" si="3"/>
        <v/>
      </c>
      <c r="K68" t="e">
        <f t="shared" si="16"/>
        <v>#N/A</v>
      </c>
      <c r="L68">
        <f t="shared" si="4"/>
        <v>-26.85</v>
      </c>
      <c r="M68" t="str">
        <f t="shared" si="5"/>
        <v/>
      </c>
      <c r="N68" t="e">
        <f t="shared" si="17"/>
        <v>#N/A</v>
      </c>
      <c r="P68">
        <f t="shared" si="6"/>
        <v>2</v>
      </c>
      <c r="Q68" t="str">
        <f t="shared" ca="1" si="7"/>
        <v/>
      </c>
      <c r="R68" t="str">
        <f t="shared" ca="1" si="8"/>
        <v/>
      </c>
      <c r="T68">
        <f t="shared" si="9"/>
        <v>0</v>
      </c>
      <c r="V68">
        <v>2</v>
      </c>
      <c r="W68" t="str">
        <f t="shared" si="18"/>
        <v/>
      </c>
    </row>
    <row r="69" spans="1:23" outlineLevel="2" x14ac:dyDescent="0.3">
      <c r="A69">
        <v>-30.31</v>
      </c>
      <c r="I69" t="str">
        <f t="shared" si="2"/>
        <v/>
      </c>
      <c r="J69" t="str">
        <f t="shared" si="3"/>
        <v/>
      </c>
      <c r="K69" t="e">
        <f t="shared" si="16"/>
        <v>#N/A</v>
      </c>
      <c r="L69">
        <f t="shared" si="4"/>
        <v>-30.31</v>
      </c>
      <c r="M69" t="str">
        <f t="shared" si="5"/>
        <v/>
      </c>
      <c r="N69" t="e">
        <f t="shared" si="17"/>
        <v>#N/A</v>
      </c>
      <c r="P69">
        <f t="shared" si="6"/>
        <v>2</v>
      </c>
      <c r="Q69" t="str">
        <f t="shared" ca="1" si="7"/>
        <v/>
      </c>
      <c r="R69" t="str">
        <f t="shared" ca="1" si="8"/>
        <v/>
      </c>
      <c r="T69">
        <f t="shared" si="9"/>
        <v>0</v>
      </c>
      <c r="V69">
        <v>2</v>
      </c>
      <c r="W69" t="str">
        <f t="shared" si="18"/>
        <v/>
      </c>
    </row>
    <row r="70" spans="1:23" outlineLevel="2" x14ac:dyDescent="0.3">
      <c r="A70">
        <v>-31.71</v>
      </c>
      <c r="I70" t="str">
        <f t="shared" ref="I70:I135" si="19">IF(A70&gt;0,A70,"")</f>
        <v/>
      </c>
      <c r="J70" t="str">
        <f t="shared" ref="J70:J135" si="20">IF(AND(I71&gt;I70,I71&gt;I72,I71&gt;$D$5),I71,"")</f>
        <v/>
      </c>
      <c r="K70" t="e">
        <f t="shared" si="16"/>
        <v>#N/A</v>
      </c>
      <c r="L70">
        <f t="shared" ref="L70:L135" si="21">IF(A70&lt;0,A70,"")</f>
        <v>-31.71</v>
      </c>
      <c r="M70" t="str">
        <f t="shared" ref="M70:M135" si="22">IF(AND(L71&lt;L70,L71&lt;L72,L71&lt;$G$5),L71,"")</f>
        <v/>
      </c>
      <c r="N70" t="e">
        <f t="shared" si="17"/>
        <v>#N/A</v>
      </c>
      <c r="P70">
        <f t="shared" ref="P70:P135" si="23">IF(A70&gt;0,1,2)</f>
        <v>2</v>
      </c>
      <c r="Q70" t="str">
        <f t="shared" ref="Q70:Q135" ca="1" si="24">IF(AND(A71&gt;=0,A70&lt;0),CELL("ROW",A71),IF(AND(A71&lt;0,A70&gt;=0),CELL("ROW",A71),""))</f>
        <v/>
      </c>
      <c r="R70" t="str">
        <f t="shared" ref="R70:R135" ca="1" si="25">IF(ISNUMBER(K70),IF(INT(K70)=K70,K70,""),"")&amp;IF(ISNUMBER(N70),IF(INT(N70)=N70,N70,""),"")&amp;IF(ISNUMBER(Q70),IF(INT(Q70)=Q70,Q70,""),"")</f>
        <v/>
      </c>
      <c r="T70">
        <f t="shared" ref="T70:T135" si="26">S71-S70</f>
        <v>0</v>
      </c>
      <c r="V70">
        <v>2</v>
      </c>
      <c r="W70" t="str">
        <f t="shared" si="18"/>
        <v/>
      </c>
    </row>
    <row r="71" spans="1:23" outlineLevel="2" x14ac:dyDescent="0.3">
      <c r="A71">
        <v>-31.07</v>
      </c>
      <c r="I71" t="str">
        <f t="shared" si="19"/>
        <v/>
      </c>
      <c r="J71" t="str">
        <f t="shared" si="20"/>
        <v/>
      </c>
      <c r="K71" t="e">
        <f t="shared" si="16"/>
        <v>#N/A</v>
      </c>
      <c r="L71">
        <f t="shared" si="21"/>
        <v>-31.07</v>
      </c>
      <c r="M71" t="str">
        <f t="shared" si="22"/>
        <v/>
      </c>
      <c r="N71" t="e">
        <f t="shared" si="17"/>
        <v>#N/A</v>
      </c>
      <c r="P71">
        <f t="shared" si="23"/>
        <v>2</v>
      </c>
      <c r="Q71" t="str">
        <f t="shared" ca="1" si="24"/>
        <v/>
      </c>
      <c r="R71" t="str">
        <f t="shared" ca="1" si="25"/>
        <v/>
      </c>
      <c r="T71">
        <f t="shared" si="26"/>
        <v>0</v>
      </c>
      <c r="V71">
        <v>2</v>
      </c>
      <c r="W71" t="str">
        <f t="shared" si="18"/>
        <v/>
      </c>
    </row>
    <row r="72" spans="1:23" outlineLevel="2" x14ac:dyDescent="0.3">
      <c r="A72">
        <v>-28.33</v>
      </c>
      <c r="I72" t="str">
        <f t="shared" si="19"/>
        <v/>
      </c>
      <c r="J72" t="str">
        <f t="shared" si="20"/>
        <v/>
      </c>
      <c r="K72" t="e">
        <f t="shared" si="16"/>
        <v>#N/A</v>
      </c>
      <c r="L72">
        <f t="shared" si="21"/>
        <v>-28.33</v>
      </c>
      <c r="M72" t="str">
        <f t="shared" si="22"/>
        <v/>
      </c>
      <c r="N72" t="e">
        <f t="shared" si="17"/>
        <v>#N/A</v>
      </c>
      <c r="P72">
        <f t="shared" si="23"/>
        <v>2</v>
      </c>
      <c r="Q72" t="str">
        <f t="shared" ca="1" si="24"/>
        <v/>
      </c>
      <c r="R72" t="str">
        <f t="shared" ca="1" si="25"/>
        <v/>
      </c>
      <c r="T72">
        <f t="shared" si="26"/>
        <v>0</v>
      </c>
      <c r="V72">
        <v>2</v>
      </c>
      <c r="W72" t="str">
        <f t="shared" si="18"/>
        <v/>
      </c>
    </row>
    <row r="73" spans="1:23" outlineLevel="2" x14ac:dyDescent="0.3">
      <c r="A73">
        <v>-24.22</v>
      </c>
      <c r="I73" t="str">
        <f t="shared" si="19"/>
        <v/>
      </c>
      <c r="J73" t="str">
        <f t="shared" si="20"/>
        <v/>
      </c>
      <c r="K73" t="e">
        <f t="shared" si="16"/>
        <v>#N/A</v>
      </c>
      <c r="L73">
        <f t="shared" si="21"/>
        <v>-24.22</v>
      </c>
      <c r="M73" t="str">
        <f t="shared" si="22"/>
        <v/>
      </c>
      <c r="N73" t="e">
        <f t="shared" si="17"/>
        <v>#N/A</v>
      </c>
      <c r="P73">
        <f t="shared" si="23"/>
        <v>2</v>
      </c>
      <c r="Q73" t="str">
        <f t="shared" ca="1" si="24"/>
        <v/>
      </c>
      <c r="R73" t="str">
        <f t="shared" ca="1" si="25"/>
        <v/>
      </c>
      <c r="T73">
        <f t="shared" si="26"/>
        <v>0</v>
      </c>
      <c r="V73">
        <v>2</v>
      </c>
      <c r="W73" t="str">
        <f t="shared" si="18"/>
        <v/>
      </c>
    </row>
    <row r="74" spans="1:23" outlineLevel="2" x14ac:dyDescent="0.3">
      <c r="A74">
        <v>-20.98</v>
      </c>
      <c r="I74" t="str">
        <f t="shared" si="19"/>
        <v/>
      </c>
      <c r="J74" t="str">
        <f t="shared" si="20"/>
        <v/>
      </c>
      <c r="K74" t="e">
        <f t="shared" si="16"/>
        <v>#N/A</v>
      </c>
      <c r="L74">
        <f t="shared" si="21"/>
        <v>-20.98</v>
      </c>
      <c r="M74" t="str">
        <f t="shared" si="22"/>
        <v/>
      </c>
      <c r="N74" t="e">
        <f t="shared" si="17"/>
        <v>#N/A</v>
      </c>
      <c r="P74">
        <f t="shared" si="23"/>
        <v>2</v>
      </c>
      <c r="Q74" t="str">
        <f t="shared" ca="1" si="24"/>
        <v/>
      </c>
      <c r="R74" t="str">
        <f t="shared" ca="1" si="25"/>
        <v/>
      </c>
      <c r="T74">
        <f t="shared" si="26"/>
        <v>0</v>
      </c>
      <c r="V74">
        <v>2</v>
      </c>
      <c r="W74" t="str">
        <f t="shared" si="18"/>
        <v/>
      </c>
    </row>
    <row r="75" spans="1:23" outlineLevel="2" x14ac:dyDescent="0.3">
      <c r="A75">
        <v>-21.3</v>
      </c>
      <c r="I75" t="str">
        <f t="shared" si="19"/>
        <v/>
      </c>
      <c r="J75" t="str">
        <f t="shared" si="20"/>
        <v/>
      </c>
      <c r="K75" t="e">
        <f t="shared" si="16"/>
        <v>#N/A</v>
      </c>
      <c r="L75">
        <f t="shared" si="21"/>
        <v>-21.3</v>
      </c>
      <c r="M75" t="str">
        <f t="shared" si="22"/>
        <v/>
      </c>
      <c r="N75" t="e">
        <f t="shared" si="17"/>
        <v>#N/A</v>
      </c>
      <c r="P75">
        <f t="shared" si="23"/>
        <v>2</v>
      </c>
      <c r="Q75" t="str">
        <f t="shared" ca="1" si="24"/>
        <v/>
      </c>
      <c r="R75" t="str">
        <f t="shared" ca="1" si="25"/>
        <v/>
      </c>
      <c r="T75">
        <f t="shared" si="26"/>
        <v>0</v>
      </c>
      <c r="V75">
        <v>2</v>
      </c>
      <c r="W75" t="str">
        <f t="shared" si="18"/>
        <v/>
      </c>
    </row>
    <row r="76" spans="1:23" outlineLevel="2" x14ac:dyDescent="0.3">
      <c r="A76">
        <v>-24.95</v>
      </c>
      <c r="I76" t="str">
        <f t="shared" si="19"/>
        <v/>
      </c>
      <c r="J76" t="str">
        <f t="shared" si="20"/>
        <v/>
      </c>
      <c r="K76" t="e">
        <f t="shared" si="16"/>
        <v>#N/A</v>
      </c>
      <c r="L76">
        <f t="shared" si="21"/>
        <v>-24.95</v>
      </c>
      <c r="M76" t="str">
        <f t="shared" si="22"/>
        <v/>
      </c>
      <c r="N76" t="e">
        <f t="shared" si="17"/>
        <v>#N/A</v>
      </c>
      <c r="P76">
        <f t="shared" si="23"/>
        <v>2</v>
      </c>
      <c r="Q76" t="str">
        <f t="shared" ca="1" si="24"/>
        <v/>
      </c>
      <c r="R76" t="str">
        <f t="shared" ca="1" si="25"/>
        <v/>
      </c>
      <c r="T76">
        <f t="shared" si="26"/>
        <v>0</v>
      </c>
      <c r="V76">
        <v>2</v>
      </c>
      <c r="W76" t="str">
        <f t="shared" si="18"/>
        <v/>
      </c>
    </row>
    <row r="77" spans="1:23" outlineLevel="2" x14ac:dyDescent="0.3">
      <c r="A77">
        <v>-26.75</v>
      </c>
      <c r="I77" t="str">
        <f t="shared" si="19"/>
        <v/>
      </c>
      <c r="J77" t="str">
        <f t="shared" si="20"/>
        <v/>
      </c>
      <c r="K77" t="e">
        <f t="shared" si="16"/>
        <v>#N/A</v>
      </c>
      <c r="L77">
        <f t="shared" si="21"/>
        <v>-26.75</v>
      </c>
      <c r="M77" t="str">
        <f t="shared" si="22"/>
        <v/>
      </c>
      <c r="N77" t="e">
        <f t="shared" si="17"/>
        <v>#N/A</v>
      </c>
      <c r="P77">
        <f t="shared" si="23"/>
        <v>2</v>
      </c>
      <c r="Q77" t="str">
        <f t="shared" ca="1" si="24"/>
        <v/>
      </c>
      <c r="R77" t="str">
        <f t="shared" ca="1" si="25"/>
        <v/>
      </c>
      <c r="T77">
        <f t="shared" si="26"/>
        <v>0</v>
      </c>
      <c r="V77">
        <v>2</v>
      </c>
      <c r="W77" t="str">
        <f t="shared" si="18"/>
        <v/>
      </c>
    </row>
    <row r="78" spans="1:23" outlineLevel="2" x14ac:dyDescent="0.3">
      <c r="A78">
        <v>-24.58</v>
      </c>
      <c r="I78" t="str">
        <f t="shared" si="19"/>
        <v/>
      </c>
      <c r="J78" t="str">
        <f t="shared" si="20"/>
        <v/>
      </c>
      <c r="K78" t="e">
        <f t="shared" si="16"/>
        <v>#N/A</v>
      </c>
      <c r="L78">
        <f t="shared" si="21"/>
        <v>-24.58</v>
      </c>
      <c r="M78" t="str">
        <f t="shared" si="22"/>
        <v/>
      </c>
      <c r="N78" t="e">
        <f t="shared" si="17"/>
        <v>#N/A</v>
      </c>
      <c r="P78">
        <f t="shared" si="23"/>
        <v>2</v>
      </c>
      <c r="Q78" t="str">
        <f t="shared" ca="1" si="24"/>
        <v/>
      </c>
      <c r="R78" t="str">
        <f t="shared" ca="1" si="25"/>
        <v/>
      </c>
      <c r="T78">
        <f t="shared" si="26"/>
        <v>0</v>
      </c>
      <c r="V78">
        <v>2</v>
      </c>
      <c r="W78" t="str">
        <f t="shared" si="18"/>
        <v/>
      </c>
    </row>
    <row r="79" spans="1:23" outlineLevel="2" x14ac:dyDescent="0.3">
      <c r="A79">
        <v>-22.93</v>
      </c>
      <c r="I79" t="str">
        <f t="shared" si="19"/>
        <v/>
      </c>
      <c r="J79" t="str">
        <f t="shared" si="20"/>
        <v/>
      </c>
      <c r="K79" t="e">
        <f t="shared" si="16"/>
        <v>#N/A</v>
      </c>
      <c r="L79">
        <f t="shared" si="21"/>
        <v>-22.93</v>
      </c>
      <c r="M79" t="str">
        <f t="shared" si="22"/>
        <v/>
      </c>
      <c r="N79" t="e">
        <f t="shared" si="17"/>
        <v>#N/A</v>
      </c>
      <c r="P79">
        <f t="shared" si="23"/>
        <v>2</v>
      </c>
      <c r="Q79" t="str">
        <f t="shared" ca="1" si="24"/>
        <v/>
      </c>
      <c r="R79" t="str">
        <f t="shared" ca="1" si="25"/>
        <v/>
      </c>
      <c r="T79">
        <f t="shared" si="26"/>
        <v>0</v>
      </c>
      <c r="V79">
        <v>2</v>
      </c>
      <c r="W79" t="str">
        <f t="shared" si="18"/>
        <v/>
      </c>
    </row>
    <row r="80" spans="1:23" outlineLevel="2" x14ac:dyDescent="0.3">
      <c r="A80">
        <v>-22.57</v>
      </c>
      <c r="I80" t="str">
        <f t="shared" si="19"/>
        <v/>
      </c>
      <c r="J80" t="str">
        <f t="shared" si="20"/>
        <v/>
      </c>
      <c r="K80" t="e">
        <f t="shared" si="16"/>
        <v>#N/A</v>
      </c>
      <c r="L80">
        <f t="shared" si="21"/>
        <v>-22.57</v>
      </c>
      <c r="M80" t="str">
        <f t="shared" si="22"/>
        <v/>
      </c>
      <c r="N80" t="e">
        <f t="shared" si="17"/>
        <v>#N/A</v>
      </c>
      <c r="P80">
        <f t="shared" si="23"/>
        <v>2</v>
      </c>
      <c r="Q80" t="str">
        <f t="shared" ca="1" si="24"/>
        <v/>
      </c>
      <c r="R80" t="str">
        <f t="shared" ca="1" si="25"/>
        <v/>
      </c>
      <c r="T80">
        <f t="shared" si="26"/>
        <v>0</v>
      </c>
      <c r="V80">
        <v>2</v>
      </c>
      <c r="W80" t="str">
        <f t="shared" si="18"/>
        <v/>
      </c>
    </row>
    <row r="81" spans="1:23" outlineLevel="2" x14ac:dyDescent="0.3">
      <c r="A81">
        <v>-19.809999999999999</v>
      </c>
      <c r="I81" t="str">
        <f t="shared" si="19"/>
        <v/>
      </c>
      <c r="J81" t="str">
        <f t="shared" si="20"/>
        <v/>
      </c>
      <c r="K81" t="e">
        <f t="shared" si="16"/>
        <v>#N/A</v>
      </c>
      <c r="L81">
        <f t="shared" si="21"/>
        <v>-19.809999999999999</v>
      </c>
      <c r="M81" t="str">
        <f t="shared" si="22"/>
        <v/>
      </c>
      <c r="N81" t="e">
        <f t="shared" si="17"/>
        <v>#N/A</v>
      </c>
      <c r="P81">
        <f t="shared" si="23"/>
        <v>2</v>
      </c>
      <c r="Q81" t="str">
        <f t="shared" ca="1" si="24"/>
        <v/>
      </c>
      <c r="R81" t="str">
        <f t="shared" ca="1" si="25"/>
        <v/>
      </c>
      <c r="T81">
        <f t="shared" si="26"/>
        <v>0</v>
      </c>
      <c r="V81">
        <v>2</v>
      </c>
      <c r="W81" t="str">
        <f t="shared" si="18"/>
        <v/>
      </c>
    </row>
    <row r="82" spans="1:23" outlineLevel="2" x14ac:dyDescent="0.3">
      <c r="A82">
        <v>-16.13</v>
      </c>
      <c r="I82" t="str">
        <f t="shared" si="19"/>
        <v/>
      </c>
      <c r="J82" t="str">
        <f t="shared" si="20"/>
        <v/>
      </c>
      <c r="K82" t="e">
        <f t="shared" si="16"/>
        <v>#N/A</v>
      </c>
      <c r="L82">
        <f t="shared" si="21"/>
        <v>-16.13</v>
      </c>
      <c r="M82" t="str">
        <f t="shared" si="22"/>
        <v/>
      </c>
      <c r="N82" t="e">
        <f t="shared" si="17"/>
        <v>#N/A</v>
      </c>
      <c r="P82">
        <f t="shared" si="23"/>
        <v>2</v>
      </c>
      <c r="Q82" t="str">
        <f t="shared" ca="1" si="24"/>
        <v/>
      </c>
      <c r="R82" t="str">
        <f t="shared" ca="1" si="25"/>
        <v/>
      </c>
      <c r="T82">
        <f t="shared" si="26"/>
        <v>0</v>
      </c>
      <c r="V82">
        <v>2</v>
      </c>
      <c r="W82" t="str">
        <f t="shared" si="18"/>
        <v/>
      </c>
    </row>
    <row r="83" spans="1:23" outlineLevel="2" x14ac:dyDescent="0.3">
      <c r="A83">
        <v>-15.51</v>
      </c>
      <c r="I83" t="str">
        <f t="shared" si="19"/>
        <v/>
      </c>
      <c r="J83" t="str">
        <f t="shared" si="20"/>
        <v/>
      </c>
      <c r="K83" t="e">
        <f t="shared" si="16"/>
        <v>#N/A</v>
      </c>
      <c r="L83">
        <f t="shared" si="21"/>
        <v>-15.51</v>
      </c>
      <c r="M83" t="str">
        <f t="shared" si="22"/>
        <v/>
      </c>
      <c r="N83" t="e">
        <f t="shared" si="17"/>
        <v>#N/A</v>
      </c>
      <c r="P83">
        <f t="shared" si="23"/>
        <v>2</v>
      </c>
      <c r="Q83" t="str">
        <f t="shared" ca="1" si="24"/>
        <v/>
      </c>
      <c r="R83" t="str">
        <f t="shared" ca="1" si="25"/>
        <v/>
      </c>
      <c r="T83">
        <f t="shared" si="26"/>
        <v>0</v>
      </c>
      <c r="V83">
        <v>2</v>
      </c>
      <c r="W83" t="str">
        <f t="shared" si="18"/>
        <v/>
      </c>
    </row>
    <row r="84" spans="1:23" outlineLevel="2" x14ac:dyDescent="0.3">
      <c r="A84">
        <v>-17.170000000000002</v>
      </c>
      <c r="I84" t="str">
        <f t="shared" si="19"/>
        <v/>
      </c>
      <c r="J84" t="str">
        <f t="shared" si="20"/>
        <v/>
      </c>
      <c r="K84" t="e">
        <f t="shared" si="16"/>
        <v>#N/A</v>
      </c>
      <c r="L84">
        <f t="shared" si="21"/>
        <v>-17.170000000000002</v>
      </c>
      <c r="M84" t="str">
        <f t="shared" si="22"/>
        <v/>
      </c>
      <c r="N84" t="e">
        <f t="shared" si="17"/>
        <v>#N/A</v>
      </c>
      <c r="P84">
        <f t="shared" si="23"/>
        <v>2</v>
      </c>
      <c r="Q84" t="str">
        <f t="shared" ca="1" si="24"/>
        <v/>
      </c>
      <c r="R84" t="str">
        <f t="shared" ca="1" si="25"/>
        <v/>
      </c>
      <c r="T84">
        <f t="shared" si="26"/>
        <v>0</v>
      </c>
      <c r="V84">
        <v>2</v>
      </c>
      <c r="W84" t="str">
        <f t="shared" si="18"/>
        <v/>
      </c>
    </row>
    <row r="85" spans="1:23" outlineLevel="2" x14ac:dyDescent="0.3">
      <c r="A85">
        <v>-18.88</v>
      </c>
      <c r="I85" t="str">
        <f t="shared" si="19"/>
        <v/>
      </c>
      <c r="J85" t="str">
        <f t="shared" si="20"/>
        <v/>
      </c>
      <c r="K85" t="e">
        <f t="shared" si="16"/>
        <v>#N/A</v>
      </c>
      <c r="L85">
        <f t="shared" si="21"/>
        <v>-18.88</v>
      </c>
      <c r="M85" t="str">
        <f t="shared" si="22"/>
        <v/>
      </c>
      <c r="N85" t="e">
        <f t="shared" si="17"/>
        <v>#N/A</v>
      </c>
      <c r="P85">
        <f t="shared" si="23"/>
        <v>2</v>
      </c>
      <c r="Q85" t="str">
        <f t="shared" ca="1" si="24"/>
        <v/>
      </c>
      <c r="R85" t="str">
        <f t="shared" ca="1" si="25"/>
        <v/>
      </c>
      <c r="T85">
        <f t="shared" si="26"/>
        <v>0</v>
      </c>
      <c r="V85">
        <v>2</v>
      </c>
      <c r="W85" t="str">
        <f t="shared" si="18"/>
        <v/>
      </c>
    </row>
    <row r="86" spans="1:23" outlineLevel="2" x14ac:dyDescent="0.3">
      <c r="A86">
        <v>-19.48</v>
      </c>
      <c r="I86" t="str">
        <f t="shared" si="19"/>
        <v/>
      </c>
      <c r="J86" t="str">
        <f t="shared" si="20"/>
        <v/>
      </c>
      <c r="K86" t="e">
        <f t="shared" si="16"/>
        <v>#N/A</v>
      </c>
      <c r="L86">
        <f t="shared" si="21"/>
        <v>-19.48</v>
      </c>
      <c r="M86" t="str">
        <f t="shared" si="22"/>
        <v/>
      </c>
      <c r="N86" t="e">
        <f t="shared" si="17"/>
        <v>#N/A</v>
      </c>
      <c r="P86">
        <f t="shared" si="23"/>
        <v>2</v>
      </c>
      <c r="Q86" t="str">
        <f t="shared" ca="1" si="24"/>
        <v/>
      </c>
      <c r="R86" t="str">
        <f t="shared" ca="1" si="25"/>
        <v/>
      </c>
      <c r="T86">
        <f t="shared" si="26"/>
        <v>0</v>
      </c>
      <c r="V86">
        <v>2</v>
      </c>
      <c r="W86" t="str">
        <f t="shared" si="18"/>
        <v/>
      </c>
    </row>
    <row r="87" spans="1:23" outlineLevel="2" x14ac:dyDescent="0.3">
      <c r="A87">
        <v>-18.23</v>
      </c>
      <c r="I87" t="str">
        <f t="shared" si="19"/>
        <v/>
      </c>
      <c r="J87" t="str">
        <f t="shared" si="20"/>
        <v/>
      </c>
      <c r="K87" t="e">
        <f t="shared" si="16"/>
        <v>#N/A</v>
      </c>
      <c r="L87">
        <f t="shared" si="21"/>
        <v>-18.23</v>
      </c>
      <c r="M87" t="str">
        <f t="shared" si="22"/>
        <v/>
      </c>
      <c r="N87" t="e">
        <f t="shared" si="17"/>
        <v>#N/A</v>
      </c>
      <c r="P87">
        <f t="shared" si="23"/>
        <v>2</v>
      </c>
      <c r="Q87" t="str">
        <f t="shared" ca="1" si="24"/>
        <v/>
      </c>
      <c r="R87" t="str">
        <f t="shared" ca="1" si="25"/>
        <v/>
      </c>
      <c r="T87">
        <f t="shared" si="26"/>
        <v>0</v>
      </c>
      <c r="V87">
        <v>2</v>
      </c>
      <c r="W87" t="str">
        <f t="shared" si="18"/>
        <v/>
      </c>
    </row>
    <row r="88" spans="1:23" outlineLevel="2" x14ac:dyDescent="0.3">
      <c r="A88">
        <v>-17.149999999999999</v>
      </c>
      <c r="I88" t="str">
        <f t="shared" si="19"/>
        <v/>
      </c>
      <c r="J88" t="str">
        <f t="shared" si="20"/>
        <v/>
      </c>
      <c r="K88" t="e">
        <f t="shared" si="16"/>
        <v>#N/A</v>
      </c>
      <c r="L88">
        <f t="shared" si="21"/>
        <v>-17.149999999999999</v>
      </c>
      <c r="M88" t="str">
        <f t="shared" si="22"/>
        <v/>
      </c>
      <c r="N88" t="e">
        <f t="shared" si="17"/>
        <v>#N/A</v>
      </c>
      <c r="P88">
        <f t="shared" si="23"/>
        <v>2</v>
      </c>
      <c r="Q88" t="str">
        <f t="shared" ca="1" si="24"/>
        <v/>
      </c>
      <c r="R88" t="str">
        <f t="shared" ca="1" si="25"/>
        <v/>
      </c>
      <c r="T88">
        <f t="shared" si="26"/>
        <v>0</v>
      </c>
      <c r="V88">
        <v>2</v>
      </c>
      <c r="W88" t="str">
        <f t="shared" si="18"/>
        <v/>
      </c>
    </row>
    <row r="89" spans="1:23" outlineLevel="2" x14ac:dyDescent="0.3">
      <c r="A89">
        <v>-18.46</v>
      </c>
      <c r="I89" t="str">
        <f t="shared" si="19"/>
        <v/>
      </c>
      <c r="J89" t="str">
        <f t="shared" si="20"/>
        <v/>
      </c>
      <c r="K89" t="e">
        <f t="shared" si="16"/>
        <v>#N/A</v>
      </c>
      <c r="L89">
        <f t="shared" si="21"/>
        <v>-18.46</v>
      </c>
      <c r="M89" t="str">
        <f t="shared" si="22"/>
        <v/>
      </c>
      <c r="N89" t="e">
        <f t="shared" si="17"/>
        <v>#N/A</v>
      </c>
      <c r="P89">
        <f t="shared" si="23"/>
        <v>2</v>
      </c>
      <c r="Q89" t="str">
        <f t="shared" ca="1" si="24"/>
        <v/>
      </c>
      <c r="R89" t="str">
        <f t="shared" ca="1" si="25"/>
        <v/>
      </c>
      <c r="T89">
        <f t="shared" si="26"/>
        <v>0</v>
      </c>
      <c r="V89">
        <v>2</v>
      </c>
      <c r="W89" t="str">
        <f t="shared" si="18"/>
        <v/>
      </c>
    </row>
    <row r="90" spans="1:23" outlineLevel="2" x14ac:dyDescent="0.3">
      <c r="A90">
        <v>-20.329999999999998</v>
      </c>
      <c r="I90" t="str">
        <f t="shared" si="19"/>
        <v/>
      </c>
      <c r="J90" t="str">
        <f t="shared" si="20"/>
        <v/>
      </c>
      <c r="K90" t="e">
        <f t="shared" si="16"/>
        <v>#N/A</v>
      </c>
      <c r="L90">
        <f t="shared" si="21"/>
        <v>-20.329999999999998</v>
      </c>
      <c r="M90" t="str">
        <f t="shared" si="22"/>
        <v/>
      </c>
      <c r="N90" t="e">
        <f t="shared" si="17"/>
        <v>#N/A</v>
      </c>
      <c r="P90">
        <f t="shared" si="23"/>
        <v>2</v>
      </c>
      <c r="Q90" t="str">
        <f t="shared" ca="1" si="24"/>
        <v/>
      </c>
      <c r="R90" t="str">
        <f t="shared" ca="1" si="25"/>
        <v/>
      </c>
      <c r="T90">
        <f t="shared" si="26"/>
        <v>0</v>
      </c>
      <c r="V90">
        <v>2</v>
      </c>
      <c r="W90" t="str">
        <f t="shared" si="18"/>
        <v/>
      </c>
    </row>
    <row r="91" spans="1:23" outlineLevel="2" x14ac:dyDescent="0.3">
      <c r="A91">
        <v>-19.46</v>
      </c>
      <c r="I91" t="str">
        <f t="shared" si="19"/>
        <v/>
      </c>
      <c r="J91" t="str">
        <f t="shared" si="20"/>
        <v/>
      </c>
      <c r="K91" t="e">
        <f t="shared" si="16"/>
        <v>#N/A</v>
      </c>
      <c r="L91">
        <f t="shared" si="21"/>
        <v>-19.46</v>
      </c>
      <c r="M91" t="str">
        <f t="shared" si="22"/>
        <v/>
      </c>
      <c r="N91" t="e">
        <f t="shared" si="17"/>
        <v>#N/A</v>
      </c>
      <c r="P91">
        <f t="shared" si="23"/>
        <v>2</v>
      </c>
      <c r="Q91" t="str">
        <f t="shared" ca="1" si="24"/>
        <v/>
      </c>
      <c r="R91" t="str">
        <f t="shared" ca="1" si="25"/>
        <v/>
      </c>
      <c r="T91">
        <f t="shared" si="26"/>
        <v>0</v>
      </c>
      <c r="V91">
        <v>2</v>
      </c>
      <c r="W91" t="str">
        <f t="shared" si="18"/>
        <v/>
      </c>
    </row>
    <row r="92" spans="1:23" outlineLevel="2" x14ac:dyDescent="0.3">
      <c r="A92">
        <v>-15.62</v>
      </c>
      <c r="I92" t="str">
        <f t="shared" si="19"/>
        <v/>
      </c>
      <c r="J92" t="str">
        <f>IF(AND(I93&gt;I92,I93&gt;I95,I93&gt;$D$5),I93,"")</f>
        <v/>
      </c>
      <c r="K92" t="e">
        <f t="shared" si="16"/>
        <v>#N/A</v>
      </c>
      <c r="L92">
        <f t="shared" si="21"/>
        <v>-15.62</v>
      </c>
      <c r="M92" t="str">
        <f>IF(AND(L93&lt;L92,L93&lt;L95,L93&lt;$G$5),L93,"")</f>
        <v/>
      </c>
      <c r="N92" t="e">
        <f t="shared" si="17"/>
        <v>#N/A</v>
      </c>
      <c r="P92">
        <f t="shared" si="23"/>
        <v>2</v>
      </c>
      <c r="Q92" t="str">
        <f t="shared" ca="1" si="24"/>
        <v/>
      </c>
      <c r="R92" t="str">
        <f t="shared" ca="1" si="25"/>
        <v/>
      </c>
      <c r="T92">
        <f t="shared" si="26"/>
        <v>0</v>
      </c>
      <c r="V92">
        <v>2</v>
      </c>
      <c r="W92" t="str">
        <f t="shared" si="18"/>
        <v/>
      </c>
    </row>
    <row r="93" spans="1:23" outlineLevel="2" x14ac:dyDescent="0.3">
      <c r="A93">
        <v>-12.16</v>
      </c>
      <c r="I93" t="str">
        <f t="shared" si="19"/>
        <v/>
      </c>
      <c r="J93" t="str">
        <f>IF(AND(I95&gt;I93,I95&gt;I96,I95&gt;$D$5),I95,"")</f>
        <v/>
      </c>
      <c r="K93" t="e">
        <f t="shared" si="16"/>
        <v>#N/A</v>
      </c>
      <c r="L93">
        <f t="shared" si="21"/>
        <v>-12.16</v>
      </c>
      <c r="M93" t="str">
        <f>IF(AND(L95&lt;L93,L95&lt;L96,L95&lt;$G$5),L95,"")</f>
        <v/>
      </c>
      <c r="N93" t="e">
        <f t="shared" si="17"/>
        <v>#N/A</v>
      </c>
      <c r="P93">
        <f t="shared" si="23"/>
        <v>2</v>
      </c>
      <c r="Q93">
        <f ca="1">IF(AND(A95&gt;=0,A93&lt;0),CELL("ROW",A95),IF(AND(A95&lt;0,A93&gt;=0),CELL("ROW",A95),""))</f>
        <v>95</v>
      </c>
      <c r="R93" t="str">
        <f t="shared" ca="1" si="25"/>
        <v>95</v>
      </c>
      <c r="T93">
        <f>S95-S93</f>
        <v>0</v>
      </c>
      <c r="V93">
        <v>2</v>
      </c>
      <c r="W93" t="str">
        <f t="shared" si="18"/>
        <v/>
      </c>
    </row>
    <row r="94" spans="1:23" outlineLevel="1" x14ac:dyDescent="0.3">
      <c r="O94" s="1" t="s">
        <v>27</v>
      </c>
      <c r="P94">
        <f>SUBTOTAL(3,P64:P93)</f>
        <v>30</v>
      </c>
      <c r="V94">
        <v>30</v>
      </c>
      <c r="W94" t="str">
        <f t="shared" si="18"/>
        <v/>
      </c>
    </row>
    <row r="95" spans="1:23" outlineLevel="2" x14ac:dyDescent="0.3">
      <c r="A95">
        <v>13.13</v>
      </c>
      <c r="I95">
        <f t="shared" si="19"/>
        <v>13.13</v>
      </c>
      <c r="J95" t="str">
        <f t="shared" si="20"/>
        <v/>
      </c>
      <c r="K95" t="e">
        <f t="shared" ref="K95:K131" si="27">MATCH(J95,$A$1:$A$10041,0)</f>
        <v>#N/A</v>
      </c>
      <c r="L95" t="str">
        <f t="shared" si="21"/>
        <v/>
      </c>
      <c r="M95" t="str">
        <f t="shared" si="22"/>
        <v/>
      </c>
      <c r="N95" t="e">
        <f t="shared" ref="N95:N131" si="28">MATCH(M95,$A$1:$A$10041,0)</f>
        <v>#N/A</v>
      </c>
      <c r="P95">
        <f t="shared" si="23"/>
        <v>1</v>
      </c>
      <c r="Q95" t="str">
        <f t="shared" ca="1" si="24"/>
        <v/>
      </c>
      <c r="R95" t="str">
        <f t="shared" ca="1" si="25"/>
        <v/>
      </c>
      <c r="T95">
        <f t="shared" si="26"/>
        <v>0</v>
      </c>
      <c r="V95">
        <v>1</v>
      </c>
      <c r="W95" t="str">
        <f t="shared" si="18"/>
        <v/>
      </c>
    </row>
    <row r="96" spans="1:23" outlineLevel="2" x14ac:dyDescent="0.3">
      <c r="A96">
        <v>14.43</v>
      </c>
      <c r="I96">
        <f t="shared" si="19"/>
        <v>14.43</v>
      </c>
      <c r="J96" t="str">
        <f t="shared" si="20"/>
        <v/>
      </c>
      <c r="K96" t="e">
        <f t="shared" si="27"/>
        <v>#N/A</v>
      </c>
      <c r="L96" t="str">
        <f t="shared" si="21"/>
        <v/>
      </c>
      <c r="M96" t="str">
        <f t="shared" si="22"/>
        <v/>
      </c>
      <c r="N96" t="e">
        <f t="shared" si="28"/>
        <v>#N/A</v>
      </c>
      <c r="P96">
        <f t="shared" si="23"/>
        <v>1</v>
      </c>
      <c r="Q96" t="str">
        <f t="shared" ca="1" si="24"/>
        <v/>
      </c>
      <c r="R96" t="str">
        <f t="shared" ca="1" si="25"/>
        <v/>
      </c>
      <c r="T96">
        <f t="shared" si="26"/>
        <v>0</v>
      </c>
      <c r="V96">
        <v>1</v>
      </c>
      <c r="W96" t="str">
        <f t="shared" si="18"/>
        <v/>
      </c>
    </row>
    <row r="97" spans="1:23" outlineLevel="2" x14ac:dyDescent="0.3">
      <c r="A97">
        <v>15.75</v>
      </c>
      <c r="I97">
        <f t="shared" si="19"/>
        <v>15.75</v>
      </c>
      <c r="J97" t="str">
        <f t="shared" si="20"/>
        <v/>
      </c>
      <c r="K97" t="e">
        <f t="shared" si="27"/>
        <v>#N/A</v>
      </c>
      <c r="L97" t="str">
        <f t="shared" si="21"/>
        <v/>
      </c>
      <c r="M97" t="str">
        <f t="shared" si="22"/>
        <v/>
      </c>
      <c r="N97" t="e">
        <f t="shared" si="28"/>
        <v>#N/A</v>
      </c>
      <c r="P97">
        <f t="shared" si="23"/>
        <v>1</v>
      </c>
      <c r="Q97" t="str">
        <f t="shared" ca="1" si="24"/>
        <v/>
      </c>
      <c r="R97" t="str">
        <f t="shared" ca="1" si="25"/>
        <v/>
      </c>
      <c r="T97">
        <f t="shared" si="26"/>
        <v>0</v>
      </c>
      <c r="V97">
        <v>1</v>
      </c>
      <c r="W97" t="str">
        <f t="shared" si="18"/>
        <v/>
      </c>
    </row>
    <row r="98" spans="1:23" outlineLevel="2" x14ac:dyDescent="0.3">
      <c r="A98">
        <v>17.46</v>
      </c>
      <c r="I98">
        <f t="shared" si="19"/>
        <v>17.46</v>
      </c>
      <c r="J98" t="str">
        <f t="shared" si="20"/>
        <v/>
      </c>
      <c r="K98" t="e">
        <f t="shared" si="27"/>
        <v>#N/A</v>
      </c>
      <c r="L98" t="str">
        <f t="shared" si="21"/>
        <v/>
      </c>
      <c r="M98" t="str">
        <f t="shared" si="22"/>
        <v/>
      </c>
      <c r="N98" t="e">
        <f t="shared" si="28"/>
        <v>#N/A</v>
      </c>
      <c r="P98">
        <f t="shared" si="23"/>
        <v>1</v>
      </c>
      <c r="Q98" t="str">
        <f t="shared" ca="1" si="24"/>
        <v/>
      </c>
      <c r="R98" t="str">
        <f t="shared" ca="1" si="25"/>
        <v/>
      </c>
      <c r="T98">
        <f t="shared" si="26"/>
        <v>0</v>
      </c>
      <c r="V98">
        <v>1</v>
      </c>
      <c r="W98" t="str">
        <f t="shared" si="18"/>
        <v/>
      </c>
    </row>
    <row r="99" spans="1:23" outlineLevel="2" x14ac:dyDescent="0.3">
      <c r="A99">
        <v>19.79</v>
      </c>
      <c r="I99">
        <f t="shared" si="19"/>
        <v>19.79</v>
      </c>
      <c r="J99" t="str">
        <f t="shared" si="20"/>
        <v/>
      </c>
      <c r="K99" t="e">
        <f t="shared" si="27"/>
        <v>#N/A</v>
      </c>
      <c r="L99" t="str">
        <f t="shared" si="21"/>
        <v/>
      </c>
      <c r="M99" t="str">
        <f t="shared" si="22"/>
        <v/>
      </c>
      <c r="N99" t="e">
        <f t="shared" si="28"/>
        <v>#N/A</v>
      </c>
      <c r="P99">
        <f t="shared" si="23"/>
        <v>1</v>
      </c>
      <c r="Q99" t="str">
        <f t="shared" ca="1" si="24"/>
        <v/>
      </c>
      <c r="R99" t="str">
        <f t="shared" ca="1" si="25"/>
        <v/>
      </c>
      <c r="T99">
        <f t="shared" si="26"/>
        <v>0</v>
      </c>
      <c r="V99">
        <v>1</v>
      </c>
      <c r="W99" t="str">
        <f t="shared" si="18"/>
        <v/>
      </c>
    </row>
    <row r="100" spans="1:23" outlineLevel="2" x14ac:dyDescent="0.3">
      <c r="A100">
        <v>23.3</v>
      </c>
      <c r="I100">
        <f t="shared" si="19"/>
        <v>23.3</v>
      </c>
      <c r="J100" t="str">
        <f t="shared" si="20"/>
        <v/>
      </c>
      <c r="K100" t="e">
        <f t="shared" si="27"/>
        <v>#N/A</v>
      </c>
      <c r="L100" t="str">
        <f t="shared" si="21"/>
        <v/>
      </c>
      <c r="M100" t="str">
        <f t="shared" si="22"/>
        <v/>
      </c>
      <c r="N100" t="e">
        <f t="shared" si="28"/>
        <v>#N/A</v>
      </c>
      <c r="P100">
        <f t="shared" si="23"/>
        <v>1</v>
      </c>
      <c r="Q100" t="str">
        <f t="shared" ca="1" si="24"/>
        <v/>
      </c>
      <c r="R100" t="str">
        <f t="shared" ca="1" si="25"/>
        <v/>
      </c>
      <c r="T100">
        <f t="shared" si="26"/>
        <v>0</v>
      </c>
      <c r="V100">
        <v>1</v>
      </c>
      <c r="W100" t="str">
        <f t="shared" si="18"/>
        <v/>
      </c>
    </row>
    <row r="101" spans="1:23" outlineLevel="2" x14ac:dyDescent="0.3">
      <c r="A101">
        <v>26.81</v>
      </c>
      <c r="I101">
        <f t="shared" si="19"/>
        <v>26.81</v>
      </c>
      <c r="J101" t="str">
        <f t="shared" si="20"/>
        <v/>
      </c>
      <c r="K101" t="e">
        <f t="shared" si="27"/>
        <v>#N/A</v>
      </c>
      <c r="L101" t="str">
        <f t="shared" si="21"/>
        <v/>
      </c>
      <c r="M101" t="str">
        <f t="shared" si="22"/>
        <v/>
      </c>
      <c r="N101" t="e">
        <f t="shared" si="28"/>
        <v>#N/A</v>
      </c>
      <c r="P101">
        <f t="shared" si="23"/>
        <v>1</v>
      </c>
      <c r="Q101" t="str">
        <f t="shared" ca="1" si="24"/>
        <v/>
      </c>
      <c r="R101" t="str">
        <f t="shared" ca="1" si="25"/>
        <v/>
      </c>
      <c r="T101">
        <f t="shared" si="26"/>
        <v>0</v>
      </c>
      <c r="V101">
        <v>1</v>
      </c>
      <c r="W101" t="str">
        <f t="shared" si="18"/>
        <v/>
      </c>
    </row>
    <row r="102" spans="1:23" outlineLevel="2" x14ac:dyDescent="0.3">
      <c r="A102">
        <v>28.66</v>
      </c>
      <c r="I102">
        <f t="shared" si="19"/>
        <v>28.66</v>
      </c>
      <c r="J102" t="str">
        <f t="shared" si="20"/>
        <v/>
      </c>
      <c r="K102" t="e">
        <f t="shared" si="27"/>
        <v>#N/A</v>
      </c>
      <c r="L102" t="str">
        <f t="shared" si="21"/>
        <v/>
      </c>
      <c r="M102" t="str">
        <f t="shared" si="22"/>
        <v/>
      </c>
      <c r="N102" t="e">
        <f t="shared" si="28"/>
        <v>#N/A</v>
      </c>
      <c r="P102">
        <f t="shared" si="23"/>
        <v>1</v>
      </c>
      <c r="Q102" t="str">
        <f t="shared" ca="1" si="24"/>
        <v/>
      </c>
      <c r="R102" t="str">
        <f t="shared" ca="1" si="25"/>
        <v/>
      </c>
      <c r="T102">
        <f t="shared" si="26"/>
        <v>0</v>
      </c>
      <c r="V102">
        <v>1</v>
      </c>
      <c r="W102" t="str">
        <f t="shared" si="18"/>
        <v/>
      </c>
    </row>
    <row r="103" spans="1:23" outlineLevel="2" x14ac:dyDescent="0.3">
      <c r="A103">
        <v>30.42</v>
      </c>
      <c r="I103">
        <f t="shared" si="19"/>
        <v>30.42</v>
      </c>
      <c r="J103" t="str">
        <f t="shared" si="20"/>
        <v/>
      </c>
      <c r="K103" t="e">
        <f t="shared" si="27"/>
        <v>#N/A</v>
      </c>
      <c r="L103" t="str">
        <f t="shared" si="21"/>
        <v/>
      </c>
      <c r="M103" t="str">
        <f t="shared" si="22"/>
        <v/>
      </c>
      <c r="N103" t="e">
        <f t="shared" si="28"/>
        <v>#N/A</v>
      </c>
      <c r="P103">
        <f t="shared" si="23"/>
        <v>1</v>
      </c>
      <c r="Q103" t="str">
        <f t="shared" ca="1" si="24"/>
        <v/>
      </c>
      <c r="R103" t="str">
        <f t="shared" ca="1" si="25"/>
        <v/>
      </c>
      <c r="T103">
        <f t="shared" si="26"/>
        <v>0</v>
      </c>
      <c r="V103">
        <v>1</v>
      </c>
      <c r="W103" t="str">
        <f t="shared" si="18"/>
        <v/>
      </c>
    </row>
    <row r="104" spans="1:23" outlineLevel="2" x14ac:dyDescent="0.3">
      <c r="A104">
        <v>33.71</v>
      </c>
      <c r="I104">
        <f t="shared" si="19"/>
        <v>33.71</v>
      </c>
      <c r="J104" t="str">
        <f t="shared" si="20"/>
        <v/>
      </c>
      <c r="K104" t="e">
        <f t="shared" si="27"/>
        <v>#N/A</v>
      </c>
      <c r="L104" t="str">
        <f t="shared" si="21"/>
        <v/>
      </c>
      <c r="M104" t="str">
        <f t="shared" si="22"/>
        <v/>
      </c>
      <c r="N104" t="e">
        <f t="shared" si="28"/>
        <v>#N/A</v>
      </c>
      <c r="P104">
        <f t="shared" si="23"/>
        <v>1</v>
      </c>
      <c r="Q104" t="str">
        <f t="shared" ca="1" si="24"/>
        <v/>
      </c>
      <c r="R104" t="str">
        <f t="shared" ca="1" si="25"/>
        <v/>
      </c>
      <c r="T104">
        <f t="shared" si="26"/>
        <v>0</v>
      </c>
      <c r="V104">
        <v>1</v>
      </c>
      <c r="W104" t="str">
        <f t="shared" si="18"/>
        <v/>
      </c>
    </row>
    <row r="105" spans="1:23" outlineLevel="2" x14ac:dyDescent="0.3">
      <c r="A105">
        <v>36.35</v>
      </c>
      <c r="I105">
        <f t="shared" si="19"/>
        <v>36.35</v>
      </c>
      <c r="J105" t="str">
        <f t="shared" si="20"/>
        <v/>
      </c>
      <c r="K105" t="e">
        <f t="shared" si="27"/>
        <v>#N/A</v>
      </c>
      <c r="L105" t="str">
        <f t="shared" si="21"/>
        <v/>
      </c>
      <c r="M105" t="str">
        <f t="shared" si="22"/>
        <v/>
      </c>
      <c r="N105" t="e">
        <f t="shared" si="28"/>
        <v>#N/A</v>
      </c>
      <c r="P105">
        <f t="shared" si="23"/>
        <v>1</v>
      </c>
      <c r="Q105" t="str">
        <f t="shared" ca="1" si="24"/>
        <v/>
      </c>
      <c r="R105" t="str">
        <f t="shared" ca="1" si="25"/>
        <v/>
      </c>
      <c r="T105">
        <f t="shared" si="26"/>
        <v>0</v>
      </c>
      <c r="V105">
        <v>1</v>
      </c>
      <c r="W105" t="str">
        <f t="shared" si="18"/>
        <v/>
      </c>
    </row>
    <row r="106" spans="1:23" outlineLevel="2" x14ac:dyDescent="0.3">
      <c r="A106">
        <v>37.14</v>
      </c>
      <c r="I106">
        <f t="shared" si="19"/>
        <v>37.14</v>
      </c>
      <c r="J106" t="str">
        <f t="shared" si="20"/>
        <v/>
      </c>
      <c r="K106" t="e">
        <f t="shared" si="27"/>
        <v>#N/A</v>
      </c>
      <c r="L106" t="str">
        <f t="shared" si="21"/>
        <v/>
      </c>
      <c r="M106" t="str">
        <f t="shared" si="22"/>
        <v/>
      </c>
      <c r="N106" t="e">
        <f t="shared" si="28"/>
        <v>#N/A</v>
      </c>
      <c r="P106">
        <f t="shared" si="23"/>
        <v>1</v>
      </c>
      <c r="Q106" t="str">
        <f t="shared" ca="1" si="24"/>
        <v/>
      </c>
      <c r="R106" t="str">
        <f t="shared" ca="1" si="25"/>
        <v/>
      </c>
      <c r="T106">
        <f t="shared" si="26"/>
        <v>0</v>
      </c>
      <c r="V106">
        <v>1</v>
      </c>
      <c r="W106" t="str">
        <f t="shared" si="18"/>
        <v/>
      </c>
    </row>
    <row r="107" spans="1:23" outlineLevel="2" x14ac:dyDescent="0.3">
      <c r="A107">
        <v>38.03</v>
      </c>
      <c r="I107">
        <f t="shared" si="19"/>
        <v>38.03</v>
      </c>
      <c r="J107" t="str">
        <f t="shared" si="20"/>
        <v/>
      </c>
      <c r="K107" t="e">
        <f t="shared" si="27"/>
        <v>#N/A</v>
      </c>
      <c r="L107" t="str">
        <f t="shared" si="21"/>
        <v/>
      </c>
      <c r="M107" t="str">
        <f t="shared" si="22"/>
        <v/>
      </c>
      <c r="N107" t="e">
        <f t="shared" si="28"/>
        <v>#N/A</v>
      </c>
      <c r="P107">
        <f t="shared" si="23"/>
        <v>1</v>
      </c>
      <c r="Q107" t="str">
        <f t="shared" ca="1" si="24"/>
        <v/>
      </c>
      <c r="R107" t="str">
        <f t="shared" ca="1" si="25"/>
        <v/>
      </c>
      <c r="T107">
        <f t="shared" si="26"/>
        <v>0</v>
      </c>
      <c r="V107">
        <v>1</v>
      </c>
      <c r="W107" t="str">
        <f t="shared" si="18"/>
        <v/>
      </c>
    </row>
    <row r="108" spans="1:23" outlineLevel="2" x14ac:dyDescent="0.3">
      <c r="A108">
        <v>40.369999999999997</v>
      </c>
      <c r="I108">
        <f t="shared" si="19"/>
        <v>40.369999999999997</v>
      </c>
      <c r="J108" t="str">
        <f t="shared" si="20"/>
        <v/>
      </c>
      <c r="K108" t="e">
        <f t="shared" si="27"/>
        <v>#N/A</v>
      </c>
      <c r="L108" t="str">
        <f t="shared" si="21"/>
        <v/>
      </c>
      <c r="M108" t="str">
        <f t="shared" si="22"/>
        <v/>
      </c>
      <c r="N108" t="e">
        <f t="shared" si="28"/>
        <v>#N/A</v>
      </c>
      <c r="P108">
        <f t="shared" si="23"/>
        <v>1</v>
      </c>
      <c r="Q108" t="str">
        <f t="shared" ca="1" si="24"/>
        <v/>
      </c>
      <c r="R108" t="str">
        <f t="shared" ca="1" si="25"/>
        <v/>
      </c>
      <c r="T108">
        <f t="shared" si="26"/>
        <v>0</v>
      </c>
      <c r="V108">
        <v>1</v>
      </c>
      <c r="W108" t="str">
        <f t="shared" si="18"/>
        <v/>
      </c>
    </row>
    <row r="109" spans="1:23" outlineLevel="2" x14ac:dyDescent="0.3">
      <c r="A109">
        <v>43.8</v>
      </c>
      <c r="I109">
        <f t="shared" si="19"/>
        <v>43.8</v>
      </c>
      <c r="J109" t="str">
        <f t="shared" si="20"/>
        <v/>
      </c>
      <c r="K109" t="e">
        <f t="shared" si="27"/>
        <v>#N/A</v>
      </c>
      <c r="L109" t="str">
        <f t="shared" si="21"/>
        <v/>
      </c>
      <c r="M109" t="str">
        <f t="shared" si="22"/>
        <v/>
      </c>
      <c r="N109" t="e">
        <f t="shared" si="28"/>
        <v>#N/A</v>
      </c>
      <c r="P109">
        <f t="shared" si="23"/>
        <v>1</v>
      </c>
      <c r="Q109" t="str">
        <f t="shared" ca="1" si="24"/>
        <v/>
      </c>
      <c r="R109" t="str">
        <f t="shared" ca="1" si="25"/>
        <v/>
      </c>
      <c r="T109">
        <f t="shared" si="26"/>
        <v>0</v>
      </c>
      <c r="V109">
        <v>1</v>
      </c>
      <c r="W109" t="str">
        <f t="shared" si="18"/>
        <v/>
      </c>
    </row>
    <row r="110" spans="1:23" outlineLevel="2" x14ac:dyDescent="0.3">
      <c r="A110">
        <v>47.67</v>
      </c>
      <c r="I110">
        <f t="shared" si="19"/>
        <v>47.67</v>
      </c>
      <c r="J110" t="str">
        <f t="shared" si="20"/>
        <v/>
      </c>
      <c r="K110" t="e">
        <f t="shared" si="27"/>
        <v>#N/A</v>
      </c>
      <c r="L110" t="str">
        <f t="shared" si="21"/>
        <v/>
      </c>
      <c r="M110" t="str">
        <f t="shared" si="22"/>
        <v/>
      </c>
      <c r="N110" t="e">
        <f t="shared" si="28"/>
        <v>#N/A</v>
      </c>
      <c r="P110">
        <f t="shared" si="23"/>
        <v>1</v>
      </c>
      <c r="Q110" t="str">
        <f t="shared" ca="1" si="24"/>
        <v/>
      </c>
      <c r="R110" t="str">
        <f t="shared" ca="1" si="25"/>
        <v/>
      </c>
      <c r="T110">
        <f t="shared" si="26"/>
        <v>0</v>
      </c>
      <c r="V110">
        <v>1</v>
      </c>
      <c r="W110" t="str">
        <f t="shared" si="18"/>
        <v/>
      </c>
    </row>
    <row r="111" spans="1:23" outlineLevel="2" x14ac:dyDescent="0.3">
      <c r="A111">
        <v>51.04</v>
      </c>
      <c r="I111">
        <f t="shared" si="19"/>
        <v>51.04</v>
      </c>
      <c r="J111" t="str">
        <f t="shared" si="20"/>
        <v/>
      </c>
      <c r="K111" t="e">
        <f t="shared" si="27"/>
        <v>#N/A</v>
      </c>
      <c r="L111" t="str">
        <f t="shared" si="21"/>
        <v/>
      </c>
      <c r="M111" t="str">
        <f t="shared" si="22"/>
        <v/>
      </c>
      <c r="N111" t="e">
        <f t="shared" si="28"/>
        <v>#N/A</v>
      </c>
      <c r="P111">
        <f t="shared" si="23"/>
        <v>1</v>
      </c>
      <c r="Q111" t="str">
        <f t="shared" ca="1" si="24"/>
        <v/>
      </c>
      <c r="R111" t="str">
        <f t="shared" ca="1" si="25"/>
        <v/>
      </c>
      <c r="T111">
        <f t="shared" si="26"/>
        <v>0</v>
      </c>
      <c r="V111">
        <v>1</v>
      </c>
      <c r="W111" t="str">
        <f t="shared" si="18"/>
        <v/>
      </c>
    </row>
    <row r="112" spans="1:23" outlineLevel="2" x14ac:dyDescent="0.3">
      <c r="A112">
        <v>54.34</v>
      </c>
      <c r="I112">
        <f t="shared" si="19"/>
        <v>54.34</v>
      </c>
      <c r="J112" t="str">
        <f t="shared" si="20"/>
        <v/>
      </c>
      <c r="K112" t="e">
        <f t="shared" si="27"/>
        <v>#N/A</v>
      </c>
      <c r="L112" t="str">
        <f t="shared" si="21"/>
        <v/>
      </c>
      <c r="M112" t="str">
        <f t="shared" si="22"/>
        <v/>
      </c>
      <c r="N112" t="e">
        <f t="shared" si="28"/>
        <v>#N/A</v>
      </c>
      <c r="P112">
        <f t="shared" si="23"/>
        <v>1</v>
      </c>
      <c r="Q112" t="str">
        <f t="shared" ca="1" si="24"/>
        <v/>
      </c>
      <c r="R112" t="str">
        <f t="shared" ca="1" si="25"/>
        <v/>
      </c>
      <c r="T112">
        <f t="shared" si="26"/>
        <v>0</v>
      </c>
      <c r="V112">
        <v>1</v>
      </c>
      <c r="W112" t="str">
        <f t="shared" si="18"/>
        <v/>
      </c>
    </row>
    <row r="113" spans="1:23" outlineLevel="2" x14ac:dyDescent="0.3">
      <c r="A113">
        <v>57.76</v>
      </c>
      <c r="I113">
        <f t="shared" si="19"/>
        <v>57.76</v>
      </c>
      <c r="J113" t="str">
        <f t="shared" si="20"/>
        <v/>
      </c>
      <c r="K113" t="e">
        <f t="shared" si="27"/>
        <v>#N/A</v>
      </c>
      <c r="L113" t="str">
        <f t="shared" si="21"/>
        <v/>
      </c>
      <c r="M113" t="str">
        <f t="shared" si="22"/>
        <v/>
      </c>
      <c r="N113" t="e">
        <f t="shared" si="28"/>
        <v>#N/A</v>
      </c>
      <c r="P113">
        <f t="shared" si="23"/>
        <v>1</v>
      </c>
      <c r="Q113" t="str">
        <f t="shared" ca="1" si="24"/>
        <v/>
      </c>
      <c r="R113" t="str">
        <f t="shared" ca="1" si="25"/>
        <v/>
      </c>
      <c r="T113">
        <f t="shared" si="26"/>
        <v>0</v>
      </c>
      <c r="V113">
        <v>1</v>
      </c>
      <c r="W113" t="str">
        <f t="shared" si="18"/>
        <v/>
      </c>
    </row>
    <row r="114" spans="1:23" outlineLevel="2" x14ac:dyDescent="0.3">
      <c r="A114">
        <v>59.42</v>
      </c>
      <c r="I114">
        <f t="shared" si="19"/>
        <v>59.42</v>
      </c>
      <c r="J114" t="str">
        <f t="shared" si="20"/>
        <v/>
      </c>
      <c r="K114" t="e">
        <f t="shared" si="27"/>
        <v>#N/A</v>
      </c>
      <c r="L114" t="str">
        <f t="shared" si="21"/>
        <v/>
      </c>
      <c r="M114" t="str">
        <f t="shared" si="22"/>
        <v/>
      </c>
      <c r="N114" t="e">
        <f t="shared" si="28"/>
        <v>#N/A</v>
      </c>
      <c r="P114">
        <f t="shared" si="23"/>
        <v>1</v>
      </c>
      <c r="Q114" t="str">
        <f t="shared" ca="1" si="24"/>
        <v/>
      </c>
      <c r="R114" t="str">
        <f t="shared" ca="1" si="25"/>
        <v/>
      </c>
      <c r="T114">
        <f t="shared" si="26"/>
        <v>0</v>
      </c>
      <c r="V114">
        <v>1</v>
      </c>
      <c r="W114" t="str">
        <f t="shared" si="18"/>
        <v/>
      </c>
    </row>
    <row r="115" spans="1:23" outlineLevel="2" x14ac:dyDescent="0.3">
      <c r="A115">
        <v>58.38</v>
      </c>
      <c r="I115">
        <f t="shared" si="19"/>
        <v>58.38</v>
      </c>
      <c r="J115" t="str">
        <f t="shared" si="20"/>
        <v/>
      </c>
      <c r="K115" t="e">
        <f t="shared" si="27"/>
        <v>#N/A</v>
      </c>
      <c r="L115" t="str">
        <f t="shared" si="21"/>
        <v/>
      </c>
      <c r="M115" t="str">
        <f t="shared" si="22"/>
        <v/>
      </c>
      <c r="N115" t="e">
        <f t="shared" si="28"/>
        <v>#N/A</v>
      </c>
      <c r="P115">
        <f t="shared" si="23"/>
        <v>1</v>
      </c>
      <c r="Q115" t="str">
        <f t="shared" ca="1" si="24"/>
        <v/>
      </c>
      <c r="R115" t="str">
        <f t="shared" ca="1" si="25"/>
        <v/>
      </c>
      <c r="T115">
        <f t="shared" si="26"/>
        <v>0</v>
      </c>
      <c r="V115">
        <v>1</v>
      </c>
      <c r="W115" t="str">
        <f t="shared" si="18"/>
        <v/>
      </c>
    </row>
    <row r="116" spans="1:23" outlineLevel="2" x14ac:dyDescent="0.3">
      <c r="A116">
        <v>56.08</v>
      </c>
      <c r="I116">
        <f t="shared" si="19"/>
        <v>56.08</v>
      </c>
      <c r="J116" t="str">
        <f t="shared" si="20"/>
        <v/>
      </c>
      <c r="K116" t="e">
        <f t="shared" si="27"/>
        <v>#N/A</v>
      </c>
      <c r="L116" t="str">
        <f t="shared" si="21"/>
        <v/>
      </c>
      <c r="M116" t="str">
        <f t="shared" si="22"/>
        <v/>
      </c>
      <c r="N116" t="e">
        <f t="shared" si="28"/>
        <v>#N/A</v>
      </c>
      <c r="P116">
        <f t="shared" si="23"/>
        <v>1</v>
      </c>
      <c r="Q116" t="str">
        <f t="shared" ca="1" si="24"/>
        <v/>
      </c>
      <c r="R116" t="str">
        <f t="shared" ca="1" si="25"/>
        <v/>
      </c>
      <c r="T116">
        <f t="shared" si="26"/>
        <v>0</v>
      </c>
      <c r="V116">
        <v>1</v>
      </c>
      <c r="W116" t="str">
        <f t="shared" si="18"/>
        <v/>
      </c>
    </row>
    <row r="117" spans="1:23" outlineLevel="2" x14ac:dyDescent="0.3">
      <c r="A117">
        <v>53.49</v>
      </c>
      <c r="I117">
        <f t="shared" si="19"/>
        <v>53.49</v>
      </c>
      <c r="J117" t="str">
        <f t="shared" si="20"/>
        <v/>
      </c>
      <c r="K117" t="e">
        <f t="shared" si="27"/>
        <v>#N/A</v>
      </c>
      <c r="L117" t="str">
        <f t="shared" si="21"/>
        <v/>
      </c>
      <c r="M117" t="str">
        <f t="shared" si="22"/>
        <v/>
      </c>
      <c r="N117" t="e">
        <f t="shared" si="28"/>
        <v>#N/A</v>
      </c>
      <c r="P117">
        <f t="shared" si="23"/>
        <v>1</v>
      </c>
      <c r="Q117" t="str">
        <f t="shared" ca="1" si="24"/>
        <v/>
      </c>
      <c r="R117" t="str">
        <f t="shared" ca="1" si="25"/>
        <v/>
      </c>
      <c r="T117">
        <f t="shared" si="26"/>
        <v>0</v>
      </c>
      <c r="V117">
        <v>1</v>
      </c>
      <c r="W117" t="str">
        <f t="shared" si="18"/>
        <v/>
      </c>
    </row>
    <row r="118" spans="1:23" outlineLevel="2" x14ac:dyDescent="0.3">
      <c r="A118">
        <v>52.46</v>
      </c>
      <c r="I118">
        <f t="shared" si="19"/>
        <v>52.46</v>
      </c>
      <c r="J118" t="str">
        <f t="shared" si="20"/>
        <v/>
      </c>
      <c r="K118" t="e">
        <f t="shared" si="27"/>
        <v>#N/A</v>
      </c>
      <c r="L118" t="str">
        <f t="shared" si="21"/>
        <v/>
      </c>
      <c r="M118" t="str">
        <f t="shared" si="22"/>
        <v/>
      </c>
      <c r="N118" t="e">
        <f t="shared" si="28"/>
        <v>#N/A</v>
      </c>
      <c r="P118">
        <f t="shared" si="23"/>
        <v>1</v>
      </c>
      <c r="Q118" t="str">
        <f t="shared" ca="1" si="24"/>
        <v/>
      </c>
      <c r="R118" t="str">
        <f t="shared" ca="1" si="25"/>
        <v/>
      </c>
      <c r="T118">
        <f t="shared" si="26"/>
        <v>0</v>
      </c>
      <c r="V118">
        <v>1</v>
      </c>
      <c r="W118" t="str">
        <f t="shared" si="18"/>
        <v/>
      </c>
    </row>
    <row r="119" spans="1:23" outlineLevel="2" x14ac:dyDescent="0.3">
      <c r="A119">
        <v>53.61</v>
      </c>
      <c r="I119">
        <f t="shared" si="19"/>
        <v>53.61</v>
      </c>
      <c r="J119" t="str">
        <f t="shared" si="20"/>
        <v/>
      </c>
      <c r="K119" t="e">
        <f t="shared" si="27"/>
        <v>#N/A</v>
      </c>
      <c r="L119" t="str">
        <f t="shared" si="21"/>
        <v/>
      </c>
      <c r="M119" t="str">
        <f t="shared" si="22"/>
        <v/>
      </c>
      <c r="N119" t="e">
        <f t="shared" si="28"/>
        <v>#N/A</v>
      </c>
      <c r="P119">
        <f t="shared" si="23"/>
        <v>1</v>
      </c>
      <c r="Q119" t="str">
        <f t="shared" ca="1" si="24"/>
        <v/>
      </c>
      <c r="R119" t="str">
        <f t="shared" ca="1" si="25"/>
        <v/>
      </c>
      <c r="T119">
        <f t="shared" si="26"/>
        <v>0</v>
      </c>
      <c r="V119">
        <v>1</v>
      </c>
      <c r="W119" t="str">
        <f t="shared" si="18"/>
        <v/>
      </c>
    </row>
    <row r="120" spans="1:23" outlineLevel="2" x14ac:dyDescent="0.3">
      <c r="A120">
        <v>54.18</v>
      </c>
      <c r="I120">
        <f t="shared" si="19"/>
        <v>54.18</v>
      </c>
      <c r="J120" t="str">
        <f t="shared" si="20"/>
        <v/>
      </c>
      <c r="K120" t="e">
        <f t="shared" si="27"/>
        <v>#N/A</v>
      </c>
      <c r="L120" t="str">
        <f t="shared" si="21"/>
        <v/>
      </c>
      <c r="M120" t="str">
        <f t="shared" si="22"/>
        <v/>
      </c>
      <c r="N120" t="e">
        <f t="shared" si="28"/>
        <v>#N/A</v>
      </c>
      <c r="P120">
        <f t="shared" si="23"/>
        <v>1</v>
      </c>
      <c r="Q120" t="str">
        <f t="shared" ca="1" si="24"/>
        <v/>
      </c>
      <c r="R120" t="str">
        <f t="shared" ca="1" si="25"/>
        <v/>
      </c>
      <c r="T120">
        <f t="shared" si="26"/>
        <v>0</v>
      </c>
      <c r="V120">
        <v>1</v>
      </c>
      <c r="W120" t="str">
        <f t="shared" si="18"/>
        <v/>
      </c>
    </row>
    <row r="121" spans="1:23" outlineLevel="2" x14ac:dyDescent="0.3">
      <c r="A121">
        <v>53.49</v>
      </c>
      <c r="I121">
        <f t="shared" si="19"/>
        <v>53.49</v>
      </c>
      <c r="J121" t="str">
        <f t="shared" si="20"/>
        <v/>
      </c>
      <c r="K121" t="e">
        <f t="shared" si="27"/>
        <v>#N/A</v>
      </c>
      <c r="L121" t="str">
        <f t="shared" si="21"/>
        <v/>
      </c>
      <c r="M121" t="str">
        <f t="shared" si="22"/>
        <v/>
      </c>
      <c r="N121" t="e">
        <f t="shared" si="28"/>
        <v>#N/A</v>
      </c>
      <c r="P121">
        <f t="shared" si="23"/>
        <v>1</v>
      </c>
      <c r="Q121" t="str">
        <f t="shared" ca="1" si="24"/>
        <v/>
      </c>
      <c r="R121" t="str">
        <f t="shared" ca="1" si="25"/>
        <v/>
      </c>
      <c r="T121">
        <f t="shared" si="26"/>
        <v>0</v>
      </c>
      <c r="V121">
        <v>1</v>
      </c>
      <c r="W121" t="str">
        <f t="shared" si="18"/>
        <v/>
      </c>
    </row>
    <row r="122" spans="1:23" outlineLevel="2" x14ac:dyDescent="0.3">
      <c r="A122">
        <v>53.72</v>
      </c>
      <c r="I122">
        <f t="shared" si="19"/>
        <v>53.72</v>
      </c>
      <c r="J122" t="str">
        <f t="shared" si="20"/>
        <v/>
      </c>
      <c r="K122" t="e">
        <f t="shared" si="27"/>
        <v>#N/A</v>
      </c>
      <c r="L122" t="str">
        <f t="shared" si="21"/>
        <v/>
      </c>
      <c r="M122" t="str">
        <f t="shared" si="22"/>
        <v/>
      </c>
      <c r="N122" t="e">
        <f t="shared" si="28"/>
        <v>#N/A</v>
      </c>
      <c r="P122">
        <f t="shared" si="23"/>
        <v>1</v>
      </c>
      <c r="Q122" t="str">
        <f t="shared" ca="1" si="24"/>
        <v/>
      </c>
      <c r="R122" t="str">
        <f t="shared" ca="1" si="25"/>
        <v/>
      </c>
      <c r="T122">
        <f t="shared" si="26"/>
        <v>0</v>
      </c>
      <c r="V122">
        <v>1</v>
      </c>
      <c r="W122" t="str">
        <f t="shared" si="18"/>
        <v/>
      </c>
    </row>
    <row r="123" spans="1:23" outlineLevel="2" x14ac:dyDescent="0.3">
      <c r="A123">
        <v>54.6</v>
      </c>
      <c r="I123">
        <f t="shared" si="19"/>
        <v>54.6</v>
      </c>
      <c r="J123" t="str">
        <f t="shared" si="20"/>
        <v/>
      </c>
      <c r="K123" t="e">
        <f t="shared" si="27"/>
        <v>#N/A</v>
      </c>
      <c r="L123" t="str">
        <f t="shared" si="21"/>
        <v/>
      </c>
      <c r="M123" t="str">
        <f t="shared" si="22"/>
        <v/>
      </c>
      <c r="N123" t="e">
        <f t="shared" si="28"/>
        <v>#N/A</v>
      </c>
      <c r="P123">
        <f t="shared" si="23"/>
        <v>1</v>
      </c>
      <c r="Q123" t="str">
        <f t="shared" ca="1" si="24"/>
        <v/>
      </c>
      <c r="R123" t="str">
        <f t="shared" ca="1" si="25"/>
        <v/>
      </c>
      <c r="T123">
        <f t="shared" si="26"/>
        <v>0</v>
      </c>
      <c r="V123">
        <v>1</v>
      </c>
      <c r="W123" t="str">
        <f t="shared" si="18"/>
        <v/>
      </c>
    </row>
    <row r="124" spans="1:23" outlineLevel="2" x14ac:dyDescent="0.3">
      <c r="A124">
        <v>53.98</v>
      </c>
      <c r="I124">
        <f t="shared" si="19"/>
        <v>53.98</v>
      </c>
      <c r="J124" t="str">
        <f t="shared" si="20"/>
        <v/>
      </c>
      <c r="K124" t="e">
        <f t="shared" si="27"/>
        <v>#N/A</v>
      </c>
      <c r="L124" t="str">
        <f t="shared" si="21"/>
        <v/>
      </c>
      <c r="M124" t="str">
        <f t="shared" si="22"/>
        <v/>
      </c>
      <c r="N124" t="e">
        <f t="shared" si="28"/>
        <v>#N/A</v>
      </c>
      <c r="P124">
        <f t="shared" si="23"/>
        <v>1</v>
      </c>
      <c r="Q124" t="str">
        <f t="shared" ca="1" si="24"/>
        <v/>
      </c>
      <c r="R124" t="str">
        <f t="shared" ca="1" si="25"/>
        <v/>
      </c>
      <c r="T124">
        <f t="shared" si="26"/>
        <v>0</v>
      </c>
      <c r="V124">
        <v>1</v>
      </c>
      <c r="W124" t="str">
        <f t="shared" si="18"/>
        <v/>
      </c>
    </row>
    <row r="125" spans="1:23" outlineLevel="2" x14ac:dyDescent="0.3">
      <c r="A125">
        <v>50.36</v>
      </c>
      <c r="I125">
        <f t="shared" si="19"/>
        <v>50.36</v>
      </c>
      <c r="J125" t="str">
        <f t="shared" si="20"/>
        <v/>
      </c>
      <c r="K125" t="e">
        <f t="shared" si="27"/>
        <v>#N/A</v>
      </c>
      <c r="L125" t="str">
        <f t="shared" si="21"/>
        <v/>
      </c>
      <c r="M125" t="str">
        <f t="shared" si="22"/>
        <v/>
      </c>
      <c r="N125" t="e">
        <f t="shared" si="28"/>
        <v>#N/A</v>
      </c>
      <c r="P125">
        <f t="shared" si="23"/>
        <v>1</v>
      </c>
      <c r="Q125" t="str">
        <f t="shared" ca="1" si="24"/>
        <v/>
      </c>
      <c r="R125" t="str">
        <f t="shared" ca="1" si="25"/>
        <v/>
      </c>
      <c r="T125">
        <f t="shared" si="26"/>
        <v>0</v>
      </c>
      <c r="V125">
        <v>1</v>
      </c>
      <c r="W125" t="str">
        <f t="shared" si="18"/>
        <v/>
      </c>
    </row>
    <row r="126" spans="1:23" outlineLevel="2" x14ac:dyDescent="0.3">
      <c r="A126">
        <v>42.86</v>
      </c>
      <c r="I126">
        <f t="shared" si="19"/>
        <v>42.86</v>
      </c>
      <c r="J126" t="str">
        <f t="shared" si="20"/>
        <v/>
      </c>
      <c r="K126" t="e">
        <f t="shared" si="27"/>
        <v>#N/A</v>
      </c>
      <c r="L126" t="str">
        <f t="shared" si="21"/>
        <v/>
      </c>
      <c r="M126" t="str">
        <f t="shared" si="22"/>
        <v/>
      </c>
      <c r="N126" t="e">
        <f t="shared" si="28"/>
        <v>#N/A</v>
      </c>
      <c r="P126">
        <f t="shared" si="23"/>
        <v>1</v>
      </c>
      <c r="Q126" t="str">
        <f t="shared" ca="1" si="24"/>
        <v/>
      </c>
      <c r="R126" t="str">
        <f t="shared" ca="1" si="25"/>
        <v/>
      </c>
      <c r="T126">
        <f t="shared" si="26"/>
        <v>0</v>
      </c>
      <c r="V126">
        <v>1</v>
      </c>
      <c r="W126" t="str">
        <f t="shared" si="18"/>
        <v/>
      </c>
    </row>
    <row r="127" spans="1:23" outlineLevel="2" x14ac:dyDescent="0.3">
      <c r="A127">
        <v>34.58</v>
      </c>
      <c r="I127">
        <f t="shared" si="19"/>
        <v>34.58</v>
      </c>
      <c r="J127" t="str">
        <f t="shared" si="20"/>
        <v/>
      </c>
      <c r="K127" t="e">
        <f t="shared" si="27"/>
        <v>#N/A</v>
      </c>
      <c r="L127" t="str">
        <f t="shared" si="21"/>
        <v/>
      </c>
      <c r="M127" t="str">
        <f t="shared" si="22"/>
        <v/>
      </c>
      <c r="N127" t="e">
        <f t="shared" si="28"/>
        <v>#N/A</v>
      </c>
      <c r="P127">
        <f t="shared" si="23"/>
        <v>1</v>
      </c>
      <c r="Q127" t="str">
        <f t="shared" ca="1" si="24"/>
        <v/>
      </c>
      <c r="R127" t="str">
        <f t="shared" ca="1" si="25"/>
        <v/>
      </c>
      <c r="T127">
        <f t="shared" si="26"/>
        <v>0</v>
      </c>
      <c r="V127">
        <v>1</v>
      </c>
      <c r="W127" t="str">
        <f t="shared" si="18"/>
        <v/>
      </c>
    </row>
    <row r="128" spans="1:23" outlineLevel="2" x14ac:dyDescent="0.3">
      <c r="A128">
        <v>30.1</v>
      </c>
      <c r="I128">
        <f t="shared" si="19"/>
        <v>30.1</v>
      </c>
      <c r="J128" t="str">
        <f t="shared" si="20"/>
        <v/>
      </c>
      <c r="K128" t="e">
        <f t="shared" si="27"/>
        <v>#N/A</v>
      </c>
      <c r="L128" t="str">
        <f t="shared" si="21"/>
        <v/>
      </c>
      <c r="M128" t="str">
        <f t="shared" si="22"/>
        <v/>
      </c>
      <c r="N128" t="e">
        <f t="shared" si="28"/>
        <v>#N/A</v>
      </c>
      <c r="P128">
        <f t="shared" si="23"/>
        <v>1</v>
      </c>
      <c r="Q128" t="str">
        <f t="shared" ca="1" si="24"/>
        <v/>
      </c>
      <c r="R128" t="str">
        <f t="shared" ca="1" si="25"/>
        <v/>
      </c>
      <c r="T128">
        <f t="shared" si="26"/>
        <v>0</v>
      </c>
      <c r="V128">
        <v>1</v>
      </c>
      <c r="W128" t="str">
        <f t="shared" si="18"/>
        <v/>
      </c>
    </row>
    <row r="129" spans="1:23" outlineLevel="2" x14ac:dyDescent="0.3">
      <c r="A129">
        <v>28.34</v>
      </c>
      <c r="I129">
        <f t="shared" si="19"/>
        <v>28.34</v>
      </c>
      <c r="J129" t="str">
        <f t="shared" si="20"/>
        <v/>
      </c>
      <c r="K129" t="e">
        <f t="shared" si="27"/>
        <v>#N/A</v>
      </c>
      <c r="L129" t="str">
        <f t="shared" si="21"/>
        <v/>
      </c>
      <c r="M129" t="str">
        <f t="shared" si="22"/>
        <v/>
      </c>
      <c r="N129" t="e">
        <f t="shared" si="28"/>
        <v>#N/A</v>
      </c>
      <c r="P129">
        <f t="shared" si="23"/>
        <v>1</v>
      </c>
      <c r="Q129" t="str">
        <f t="shared" ca="1" si="24"/>
        <v/>
      </c>
      <c r="R129" t="str">
        <f t="shared" ca="1" si="25"/>
        <v/>
      </c>
      <c r="T129">
        <f t="shared" si="26"/>
        <v>0</v>
      </c>
      <c r="V129">
        <v>1</v>
      </c>
      <c r="W129" t="str">
        <f t="shared" si="18"/>
        <v/>
      </c>
    </row>
    <row r="130" spans="1:23" outlineLevel="2" x14ac:dyDescent="0.3">
      <c r="A130">
        <v>24.03</v>
      </c>
      <c r="I130">
        <f t="shared" si="19"/>
        <v>24.03</v>
      </c>
      <c r="J130" t="str">
        <f>IF(AND(I131&gt;I130,I131&gt;I133,I131&gt;$D$5),I131,"")</f>
        <v/>
      </c>
      <c r="K130" t="e">
        <f t="shared" si="27"/>
        <v>#N/A</v>
      </c>
      <c r="L130" t="str">
        <f t="shared" si="21"/>
        <v/>
      </c>
      <c r="M130" t="str">
        <f>IF(AND(L131&lt;L130,L131&lt;L133,L131&lt;$G$5),L131,"")</f>
        <v/>
      </c>
      <c r="N130" t="e">
        <f t="shared" si="28"/>
        <v>#N/A</v>
      </c>
      <c r="P130">
        <f t="shared" si="23"/>
        <v>1</v>
      </c>
      <c r="Q130" t="str">
        <f t="shared" ca="1" si="24"/>
        <v/>
      </c>
      <c r="R130" t="str">
        <f t="shared" ca="1" si="25"/>
        <v/>
      </c>
      <c r="T130">
        <f t="shared" si="26"/>
        <v>0</v>
      </c>
      <c r="V130">
        <v>1</v>
      </c>
      <c r="W130" t="str">
        <f t="shared" si="18"/>
        <v/>
      </c>
    </row>
    <row r="131" spans="1:23" outlineLevel="2" x14ac:dyDescent="0.3">
      <c r="A131">
        <v>13.47</v>
      </c>
      <c r="I131">
        <f t="shared" si="19"/>
        <v>13.47</v>
      </c>
      <c r="J131" t="str">
        <f>IF(AND(I133&gt;I131,I133&gt;I134,I133&gt;$D$5),I133,"")</f>
        <v/>
      </c>
      <c r="K131" t="e">
        <f t="shared" si="27"/>
        <v>#N/A</v>
      </c>
      <c r="L131" t="str">
        <f t="shared" si="21"/>
        <v/>
      </c>
      <c r="M131" t="str">
        <f>IF(AND(L133&lt;L131,L133&lt;L134,L133&lt;$G$5),L133,"")</f>
        <v/>
      </c>
      <c r="N131" t="e">
        <f t="shared" si="28"/>
        <v>#N/A</v>
      </c>
      <c r="P131">
        <f t="shared" si="23"/>
        <v>1</v>
      </c>
      <c r="Q131">
        <f ca="1">IF(AND(A133&gt;=0,A131&lt;0),CELL("ROW",A133),IF(AND(A133&lt;0,A131&gt;=0),CELL("ROW",A133),""))</f>
        <v>133</v>
      </c>
      <c r="R131" t="str">
        <f t="shared" ca="1" si="25"/>
        <v>133</v>
      </c>
      <c r="T131">
        <f>S133-S131</f>
        <v>0</v>
      </c>
      <c r="V131">
        <v>1</v>
      </c>
      <c r="W131" t="str">
        <f t="shared" ref="W131:W194" si="29">IF(AND(V131&gt;2,V131&lt;20),V131,"")</f>
        <v/>
      </c>
    </row>
    <row r="132" spans="1:23" outlineLevel="1" x14ac:dyDescent="0.3">
      <c r="O132" s="1" t="s">
        <v>26</v>
      </c>
      <c r="P132">
        <f>SUBTOTAL(3,P95:P131)</f>
        <v>37</v>
      </c>
      <c r="V132">
        <v>37</v>
      </c>
      <c r="W132" t="str">
        <f t="shared" si="29"/>
        <v/>
      </c>
    </row>
    <row r="133" spans="1:23" outlineLevel="2" x14ac:dyDescent="0.3">
      <c r="A133">
        <v>-13.6</v>
      </c>
      <c r="I133" t="str">
        <f t="shared" si="19"/>
        <v/>
      </c>
      <c r="J133" t="str">
        <f t="shared" si="20"/>
        <v/>
      </c>
      <c r="K133" t="e">
        <f t="shared" ref="K133:K164" si="30">MATCH(J133,$A$1:$A$10041,0)</f>
        <v>#N/A</v>
      </c>
      <c r="L133">
        <f t="shared" si="21"/>
        <v>-13.6</v>
      </c>
      <c r="M133" t="str">
        <f t="shared" si="22"/>
        <v/>
      </c>
      <c r="N133" t="e">
        <f t="shared" ref="N133:N164" si="31">MATCH(M133,$A$1:$A$10041,0)</f>
        <v>#N/A</v>
      </c>
      <c r="P133">
        <f t="shared" si="23"/>
        <v>2</v>
      </c>
      <c r="Q133" t="str">
        <f t="shared" ca="1" si="24"/>
        <v/>
      </c>
      <c r="R133" t="str">
        <f t="shared" ca="1" si="25"/>
        <v/>
      </c>
      <c r="T133">
        <f t="shared" si="26"/>
        <v>0</v>
      </c>
      <c r="V133">
        <v>2</v>
      </c>
      <c r="W133" t="str">
        <f t="shared" si="29"/>
        <v/>
      </c>
    </row>
    <row r="134" spans="1:23" outlineLevel="2" x14ac:dyDescent="0.3">
      <c r="A134">
        <v>-15.98</v>
      </c>
      <c r="I134" t="str">
        <f t="shared" si="19"/>
        <v/>
      </c>
      <c r="J134" t="str">
        <f t="shared" si="20"/>
        <v/>
      </c>
      <c r="K134" t="e">
        <f t="shared" si="30"/>
        <v>#N/A</v>
      </c>
      <c r="L134">
        <f t="shared" si="21"/>
        <v>-15.98</v>
      </c>
      <c r="M134" t="str">
        <f t="shared" si="22"/>
        <v/>
      </c>
      <c r="N134" t="e">
        <f t="shared" si="31"/>
        <v>#N/A</v>
      </c>
      <c r="P134">
        <f t="shared" si="23"/>
        <v>2</v>
      </c>
      <c r="Q134" t="str">
        <f t="shared" ca="1" si="24"/>
        <v/>
      </c>
      <c r="R134" t="str">
        <f t="shared" ca="1" si="25"/>
        <v/>
      </c>
      <c r="T134">
        <f t="shared" si="26"/>
        <v>0</v>
      </c>
      <c r="V134">
        <v>2</v>
      </c>
      <c r="W134" t="str">
        <f t="shared" si="29"/>
        <v/>
      </c>
    </row>
    <row r="135" spans="1:23" outlineLevel="2" x14ac:dyDescent="0.3">
      <c r="A135">
        <v>-17.32</v>
      </c>
      <c r="I135" t="str">
        <f t="shared" si="19"/>
        <v/>
      </c>
      <c r="J135" t="str">
        <f t="shared" si="20"/>
        <v/>
      </c>
      <c r="K135" t="e">
        <f t="shared" si="30"/>
        <v>#N/A</v>
      </c>
      <c r="L135">
        <f t="shared" si="21"/>
        <v>-17.32</v>
      </c>
      <c r="M135" t="str">
        <f t="shared" si="22"/>
        <v/>
      </c>
      <c r="N135" t="e">
        <f t="shared" si="31"/>
        <v>#N/A</v>
      </c>
      <c r="P135">
        <f t="shared" si="23"/>
        <v>2</v>
      </c>
      <c r="Q135" t="str">
        <f t="shared" ca="1" si="24"/>
        <v/>
      </c>
      <c r="R135" t="str">
        <f t="shared" ca="1" si="25"/>
        <v/>
      </c>
      <c r="T135">
        <f t="shared" si="26"/>
        <v>0</v>
      </c>
      <c r="V135">
        <v>2</v>
      </c>
      <c r="W135" t="str">
        <f t="shared" si="29"/>
        <v/>
      </c>
    </row>
    <row r="136" spans="1:23" outlineLevel="2" x14ac:dyDescent="0.3">
      <c r="A136">
        <v>-20.100000000000001</v>
      </c>
      <c r="I136" t="str">
        <f t="shared" ref="I136:I200" si="32">IF(A136&gt;0,A136,"")</f>
        <v/>
      </c>
      <c r="J136" t="str">
        <f t="shared" ref="J136:J200" si="33">IF(AND(I137&gt;I136,I137&gt;I138,I137&gt;$D$5),I137,"")</f>
        <v/>
      </c>
      <c r="K136" t="e">
        <f t="shared" si="30"/>
        <v>#N/A</v>
      </c>
      <c r="L136">
        <f t="shared" ref="L136:L200" si="34">IF(A136&lt;0,A136,"")</f>
        <v>-20.100000000000001</v>
      </c>
      <c r="M136" t="str">
        <f t="shared" ref="M136:M200" si="35">IF(AND(L137&lt;L136,L137&lt;L138,L137&lt;$G$5),L137,"")</f>
        <v/>
      </c>
      <c r="N136" t="e">
        <f t="shared" si="31"/>
        <v>#N/A</v>
      </c>
      <c r="P136">
        <f t="shared" ref="P136:P200" si="36">IF(A136&gt;0,1,2)</f>
        <v>2</v>
      </c>
      <c r="Q136" t="str">
        <f t="shared" ref="Q136:Q200" ca="1" si="37">IF(AND(A137&gt;=0,A136&lt;0),CELL("ROW",A137),IF(AND(A137&lt;0,A136&gt;=0),CELL("ROW",A137),""))</f>
        <v/>
      </c>
      <c r="R136" t="str">
        <f t="shared" ref="R136:R200" ca="1" si="38">IF(ISNUMBER(K136),IF(INT(K136)=K136,K136,""),"")&amp;IF(ISNUMBER(N136),IF(INT(N136)=N136,N136,""),"")&amp;IF(ISNUMBER(Q136),IF(INT(Q136)=Q136,Q136,""),"")</f>
        <v/>
      </c>
      <c r="T136">
        <f t="shared" ref="T136:T200" si="39">S137-S136</f>
        <v>0</v>
      </c>
      <c r="V136">
        <v>2</v>
      </c>
      <c r="W136" t="str">
        <f t="shared" si="29"/>
        <v/>
      </c>
    </row>
    <row r="137" spans="1:23" outlineLevel="2" x14ac:dyDescent="0.3">
      <c r="A137">
        <v>-24.18</v>
      </c>
      <c r="I137" t="str">
        <f t="shared" si="32"/>
        <v/>
      </c>
      <c r="J137" t="str">
        <f t="shared" si="33"/>
        <v/>
      </c>
      <c r="K137" t="e">
        <f t="shared" si="30"/>
        <v>#N/A</v>
      </c>
      <c r="L137">
        <f t="shared" si="34"/>
        <v>-24.18</v>
      </c>
      <c r="M137" t="str">
        <f t="shared" si="35"/>
        <v/>
      </c>
      <c r="N137" t="e">
        <f t="shared" si="31"/>
        <v>#N/A</v>
      </c>
      <c r="P137">
        <f t="shared" si="36"/>
        <v>2</v>
      </c>
      <c r="Q137" t="str">
        <f t="shared" ca="1" si="37"/>
        <v/>
      </c>
      <c r="R137" t="str">
        <f t="shared" ca="1" si="38"/>
        <v/>
      </c>
      <c r="T137">
        <f t="shared" si="39"/>
        <v>0</v>
      </c>
      <c r="V137">
        <v>2</v>
      </c>
      <c r="W137" t="str">
        <f t="shared" si="29"/>
        <v/>
      </c>
    </row>
    <row r="138" spans="1:23" outlineLevel="2" x14ac:dyDescent="0.3">
      <c r="A138">
        <v>-27.17</v>
      </c>
      <c r="I138" t="str">
        <f t="shared" si="32"/>
        <v/>
      </c>
      <c r="J138" t="str">
        <f t="shared" si="33"/>
        <v/>
      </c>
      <c r="K138" t="e">
        <f t="shared" si="30"/>
        <v>#N/A</v>
      </c>
      <c r="L138">
        <f t="shared" si="34"/>
        <v>-27.17</v>
      </c>
      <c r="M138" t="str">
        <f t="shared" si="35"/>
        <v/>
      </c>
      <c r="N138" t="e">
        <f t="shared" si="31"/>
        <v>#N/A</v>
      </c>
      <c r="P138">
        <f t="shared" si="36"/>
        <v>2</v>
      </c>
      <c r="Q138" t="str">
        <f t="shared" ca="1" si="37"/>
        <v/>
      </c>
      <c r="R138" t="str">
        <f t="shared" ca="1" si="38"/>
        <v/>
      </c>
      <c r="T138">
        <f t="shared" si="39"/>
        <v>0</v>
      </c>
      <c r="V138">
        <v>2</v>
      </c>
      <c r="W138" t="str">
        <f t="shared" si="29"/>
        <v/>
      </c>
    </row>
    <row r="139" spans="1:23" outlineLevel="2" x14ac:dyDescent="0.3">
      <c r="A139">
        <v>-28.75</v>
      </c>
      <c r="I139" t="str">
        <f t="shared" si="32"/>
        <v/>
      </c>
      <c r="J139" t="str">
        <f t="shared" si="33"/>
        <v/>
      </c>
      <c r="K139" t="e">
        <f t="shared" si="30"/>
        <v>#N/A</v>
      </c>
      <c r="L139">
        <f t="shared" si="34"/>
        <v>-28.75</v>
      </c>
      <c r="M139" t="str">
        <f t="shared" si="35"/>
        <v/>
      </c>
      <c r="N139" t="e">
        <f t="shared" si="31"/>
        <v>#N/A</v>
      </c>
      <c r="P139">
        <f t="shared" si="36"/>
        <v>2</v>
      </c>
      <c r="Q139" t="str">
        <f t="shared" ca="1" si="37"/>
        <v/>
      </c>
      <c r="R139" t="str">
        <f t="shared" ca="1" si="38"/>
        <v/>
      </c>
      <c r="T139">
        <f t="shared" si="39"/>
        <v>0</v>
      </c>
      <c r="V139">
        <v>2</v>
      </c>
      <c r="W139" t="str">
        <f t="shared" si="29"/>
        <v/>
      </c>
    </row>
    <row r="140" spans="1:23" outlineLevel="2" x14ac:dyDescent="0.3">
      <c r="A140">
        <v>-31.29</v>
      </c>
      <c r="I140" t="str">
        <f t="shared" si="32"/>
        <v/>
      </c>
      <c r="J140" t="str">
        <f t="shared" si="33"/>
        <v/>
      </c>
      <c r="K140" t="e">
        <f t="shared" si="30"/>
        <v>#N/A</v>
      </c>
      <c r="L140">
        <f t="shared" si="34"/>
        <v>-31.29</v>
      </c>
      <c r="M140" t="str">
        <f t="shared" si="35"/>
        <v/>
      </c>
      <c r="N140" t="e">
        <f t="shared" si="31"/>
        <v>#N/A</v>
      </c>
      <c r="P140">
        <f t="shared" si="36"/>
        <v>2</v>
      </c>
      <c r="Q140" t="str">
        <f t="shared" ca="1" si="37"/>
        <v/>
      </c>
      <c r="R140" t="str">
        <f t="shared" ca="1" si="38"/>
        <v/>
      </c>
      <c r="T140">
        <f t="shared" si="39"/>
        <v>0</v>
      </c>
      <c r="V140">
        <v>2</v>
      </c>
      <c r="W140" t="str">
        <f t="shared" si="29"/>
        <v/>
      </c>
    </row>
    <row r="141" spans="1:23" outlineLevel="2" x14ac:dyDescent="0.3">
      <c r="A141">
        <v>-34.82</v>
      </c>
      <c r="I141" t="str">
        <f t="shared" si="32"/>
        <v/>
      </c>
      <c r="J141" t="str">
        <f t="shared" si="33"/>
        <v/>
      </c>
      <c r="K141" t="e">
        <f t="shared" si="30"/>
        <v>#N/A</v>
      </c>
      <c r="L141">
        <f t="shared" si="34"/>
        <v>-34.82</v>
      </c>
      <c r="M141" t="str">
        <f t="shared" si="35"/>
        <v/>
      </c>
      <c r="N141" t="e">
        <f t="shared" si="31"/>
        <v>#N/A</v>
      </c>
      <c r="P141">
        <f t="shared" si="36"/>
        <v>2</v>
      </c>
      <c r="Q141" t="str">
        <f t="shared" ca="1" si="37"/>
        <v/>
      </c>
      <c r="R141" t="str">
        <f t="shared" ca="1" si="38"/>
        <v/>
      </c>
      <c r="T141">
        <f t="shared" si="39"/>
        <v>0</v>
      </c>
      <c r="V141">
        <v>2</v>
      </c>
      <c r="W141" t="str">
        <f t="shared" si="29"/>
        <v/>
      </c>
    </row>
    <row r="142" spans="1:23" outlineLevel="2" x14ac:dyDescent="0.3">
      <c r="A142">
        <v>-36.47</v>
      </c>
      <c r="I142" t="str">
        <f t="shared" si="32"/>
        <v/>
      </c>
      <c r="J142" t="str">
        <f t="shared" si="33"/>
        <v/>
      </c>
      <c r="K142" t="e">
        <f t="shared" si="30"/>
        <v>#N/A</v>
      </c>
      <c r="L142">
        <f t="shared" si="34"/>
        <v>-36.47</v>
      </c>
      <c r="M142" t="str">
        <f t="shared" si="35"/>
        <v/>
      </c>
      <c r="N142" t="e">
        <f t="shared" si="31"/>
        <v>#N/A</v>
      </c>
      <c r="P142">
        <f t="shared" si="36"/>
        <v>2</v>
      </c>
      <c r="Q142" t="str">
        <f t="shared" ca="1" si="37"/>
        <v/>
      </c>
      <c r="R142" t="str">
        <f t="shared" ca="1" si="38"/>
        <v/>
      </c>
      <c r="T142">
        <f t="shared" si="39"/>
        <v>0</v>
      </c>
      <c r="V142">
        <v>2</v>
      </c>
      <c r="W142" t="str">
        <f t="shared" si="29"/>
        <v/>
      </c>
    </row>
    <row r="143" spans="1:23" outlineLevel="2" x14ac:dyDescent="0.3">
      <c r="A143">
        <v>-35.270000000000003</v>
      </c>
      <c r="I143" t="str">
        <f t="shared" si="32"/>
        <v/>
      </c>
      <c r="J143" t="str">
        <f t="shared" si="33"/>
        <v/>
      </c>
      <c r="K143" t="e">
        <f t="shared" si="30"/>
        <v>#N/A</v>
      </c>
      <c r="L143">
        <f t="shared" si="34"/>
        <v>-35.270000000000003</v>
      </c>
      <c r="M143" t="str">
        <f t="shared" si="35"/>
        <v/>
      </c>
      <c r="N143" t="e">
        <f t="shared" si="31"/>
        <v>#N/A</v>
      </c>
      <c r="P143">
        <f t="shared" si="36"/>
        <v>2</v>
      </c>
      <c r="Q143" t="str">
        <f t="shared" ca="1" si="37"/>
        <v/>
      </c>
      <c r="R143" t="str">
        <f t="shared" ca="1" si="38"/>
        <v/>
      </c>
      <c r="T143">
        <f t="shared" si="39"/>
        <v>0</v>
      </c>
      <c r="V143">
        <v>2</v>
      </c>
      <c r="W143" t="str">
        <f t="shared" si="29"/>
        <v/>
      </c>
    </row>
    <row r="144" spans="1:23" outlineLevel="2" x14ac:dyDescent="0.3">
      <c r="A144">
        <v>-33.46</v>
      </c>
      <c r="I144" t="str">
        <f t="shared" si="32"/>
        <v/>
      </c>
      <c r="J144" t="str">
        <f t="shared" si="33"/>
        <v/>
      </c>
      <c r="K144" t="e">
        <f t="shared" si="30"/>
        <v>#N/A</v>
      </c>
      <c r="L144">
        <f t="shared" si="34"/>
        <v>-33.46</v>
      </c>
      <c r="M144" t="str">
        <f t="shared" si="35"/>
        <v/>
      </c>
      <c r="N144" t="e">
        <f t="shared" si="31"/>
        <v>#N/A</v>
      </c>
      <c r="P144">
        <f t="shared" si="36"/>
        <v>2</v>
      </c>
      <c r="Q144" t="str">
        <f t="shared" ca="1" si="37"/>
        <v/>
      </c>
      <c r="R144" t="str">
        <f t="shared" ca="1" si="38"/>
        <v/>
      </c>
      <c r="T144">
        <f t="shared" si="39"/>
        <v>0</v>
      </c>
      <c r="V144">
        <v>2</v>
      </c>
      <c r="W144" t="str">
        <f t="shared" si="29"/>
        <v/>
      </c>
    </row>
    <row r="145" spans="1:23" outlineLevel="2" x14ac:dyDescent="0.3">
      <c r="A145">
        <v>-33.65</v>
      </c>
      <c r="I145" t="str">
        <f t="shared" si="32"/>
        <v/>
      </c>
      <c r="J145" t="str">
        <f t="shared" si="33"/>
        <v/>
      </c>
      <c r="K145" t="e">
        <f t="shared" si="30"/>
        <v>#N/A</v>
      </c>
      <c r="L145">
        <f t="shared" si="34"/>
        <v>-33.65</v>
      </c>
      <c r="M145" t="str">
        <f t="shared" si="35"/>
        <v/>
      </c>
      <c r="N145" t="e">
        <f t="shared" si="31"/>
        <v>#N/A</v>
      </c>
      <c r="P145">
        <f t="shared" si="36"/>
        <v>2</v>
      </c>
      <c r="Q145" t="str">
        <f t="shared" ca="1" si="37"/>
        <v/>
      </c>
      <c r="R145" t="str">
        <f t="shared" ca="1" si="38"/>
        <v/>
      </c>
      <c r="T145">
        <f t="shared" si="39"/>
        <v>0</v>
      </c>
      <c r="V145">
        <v>2</v>
      </c>
      <c r="W145" t="str">
        <f t="shared" si="29"/>
        <v/>
      </c>
    </row>
    <row r="146" spans="1:23" outlineLevel="2" x14ac:dyDescent="0.3">
      <c r="A146">
        <v>-36.450000000000003</v>
      </c>
      <c r="I146" t="str">
        <f t="shared" si="32"/>
        <v/>
      </c>
      <c r="J146" t="str">
        <f t="shared" si="33"/>
        <v/>
      </c>
      <c r="K146" t="e">
        <f t="shared" si="30"/>
        <v>#N/A</v>
      </c>
      <c r="L146">
        <f t="shared" si="34"/>
        <v>-36.450000000000003</v>
      </c>
      <c r="M146" t="str">
        <f t="shared" si="35"/>
        <v/>
      </c>
      <c r="N146" t="e">
        <f t="shared" si="31"/>
        <v>#N/A</v>
      </c>
      <c r="P146">
        <f t="shared" si="36"/>
        <v>2</v>
      </c>
      <c r="Q146" t="str">
        <f t="shared" ca="1" si="37"/>
        <v/>
      </c>
      <c r="R146" t="str">
        <f t="shared" ca="1" si="38"/>
        <v/>
      </c>
      <c r="T146">
        <f t="shared" si="39"/>
        <v>0</v>
      </c>
      <c r="V146">
        <v>2</v>
      </c>
      <c r="W146" t="str">
        <f t="shared" si="29"/>
        <v/>
      </c>
    </row>
    <row r="147" spans="1:23" outlineLevel="2" x14ac:dyDescent="0.3">
      <c r="A147">
        <v>-40.159999999999997</v>
      </c>
      <c r="I147" t="str">
        <f t="shared" si="32"/>
        <v/>
      </c>
      <c r="J147" t="str">
        <f t="shared" si="33"/>
        <v/>
      </c>
      <c r="K147" t="e">
        <f t="shared" si="30"/>
        <v>#N/A</v>
      </c>
      <c r="L147">
        <f t="shared" si="34"/>
        <v>-40.159999999999997</v>
      </c>
      <c r="M147" t="str">
        <f t="shared" si="35"/>
        <v/>
      </c>
      <c r="N147" t="e">
        <f t="shared" si="31"/>
        <v>#N/A</v>
      </c>
      <c r="P147">
        <f t="shared" si="36"/>
        <v>2</v>
      </c>
      <c r="Q147" t="str">
        <f t="shared" ca="1" si="37"/>
        <v/>
      </c>
      <c r="R147" t="str">
        <f t="shared" ca="1" si="38"/>
        <v/>
      </c>
      <c r="T147">
        <f t="shared" si="39"/>
        <v>0</v>
      </c>
      <c r="V147">
        <v>2</v>
      </c>
      <c r="W147" t="str">
        <f t="shared" si="29"/>
        <v/>
      </c>
    </row>
    <row r="148" spans="1:23" outlineLevel="2" x14ac:dyDescent="0.3">
      <c r="A148">
        <v>-42.99</v>
      </c>
      <c r="I148" t="str">
        <f t="shared" si="32"/>
        <v/>
      </c>
      <c r="J148" t="str">
        <f t="shared" si="33"/>
        <v/>
      </c>
      <c r="K148" t="e">
        <f t="shared" si="30"/>
        <v>#N/A</v>
      </c>
      <c r="L148">
        <f t="shared" si="34"/>
        <v>-42.99</v>
      </c>
      <c r="M148" t="str">
        <f t="shared" si="35"/>
        <v/>
      </c>
      <c r="N148" t="e">
        <f t="shared" si="31"/>
        <v>#N/A</v>
      </c>
      <c r="P148">
        <f t="shared" si="36"/>
        <v>2</v>
      </c>
      <c r="Q148" t="str">
        <f t="shared" ca="1" si="37"/>
        <v/>
      </c>
      <c r="R148" t="str">
        <f t="shared" ca="1" si="38"/>
        <v/>
      </c>
      <c r="T148">
        <f t="shared" si="39"/>
        <v>0</v>
      </c>
      <c r="V148">
        <v>2</v>
      </c>
      <c r="W148" t="str">
        <f t="shared" si="29"/>
        <v/>
      </c>
    </row>
    <row r="149" spans="1:23" outlineLevel="2" x14ac:dyDescent="0.3">
      <c r="A149">
        <v>-44.65</v>
      </c>
      <c r="I149" t="str">
        <f t="shared" si="32"/>
        <v/>
      </c>
      <c r="J149" t="str">
        <f t="shared" si="33"/>
        <v/>
      </c>
      <c r="K149" t="e">
        <f t="shared" si="30"/>
        <v>#N/A</v>
      </c>
      <c r="L149">
        <f t="shared" si="34"/>
        <v>-44.65</v>
      </c>
      <c r="M149" t="str">
        <f t="shared" si="35"/>
        <v/>
      </c>
      <c r="N149" t="e">
        <f t="shared" si="31"/>
        <v>#N/A</v>
      </c>
      <c r="P149">
        <f t="shared" si="36"/>
        <v>2</v>
      </c>
      <c r="Q149" t="str">
        <f t="shared" ca="1" si="37"/>
        <v/>
      </c>
      <c r="R149" t="str">
        <f t="shared" ca="1" si="38"/>
        <v/>
      </c>
      <c r="T149">
        <f t="shared" si="39"/>
        <v>0</v>
      </c>
      <c r="V149">
        <v>2</v>
      </c>
      <c r="W149" t="str">
        <f t="shared" si="29"/>
        <v/>
      </c>
    </row>
    <row r="150" spans="1:23" outlineLevel="2" x14ac:dyDescent="0.3">
      <c r="A150">
        <v>-45</v>
      </c>
      <c r="I150" t="str">
        <f t="shared" si="32"/>
        <v/>
      </c>
      <c r="J150" t="str">
        <f t="shared" si="33"/>
        <v/>
      </c>
      <c r="K150" t="e">
        <f t="shared" si="30"/>
        <v>#N/A</v>
      </c>
      <c r="L150">
        <f t="shared" si="34"/>
        <v>-45</v>
      </c>
      <c r="M150" t="str">
        <f t="shared" si="35"/>
        <v/>
      </c>
      <c r="N150" t="e">
        <f t="shared" si="31"/>
        <v>#N/A</v>
      </c>
      <c r="P150">
        <f t="shared" si="36"/>
        <v>2</v>
      </c>
      <c r="Q150" t="str">
        <f t="shared" ca="1" si="37"/>
        <v/>
      </c>
      <c r="R150" t="str">
        <f t="shared" ca="1" si="38"/>
        <v/>
      </c>
      <c r="T150">
        <f t="shared" si="39"/>
        <v>0</v>
      </c>
      <c r="V150">
        <v>2</v>
      </c>
      <c r="W150" t="str">
        <f t="shared" si="29"/>
        <v/>
      </c>
    </row>
    <row r="151" spans="1:23" outlineLevel="2" x14ac:dyDescent="0.3">
      <c r="A151">
        <v>-44.66</v>
      </c>
      <c r="I151" t="str">
        <f t="shared" si="32"/>
        <v/>
      </c>
      <c r="J151" t="str">
        <f t="shared" si="33"/>
        <v/>
      </c>
      <c r="K151" t="e">
        <f t="shared" si="30"/>
        <v>#N/A</v>
      </c>
      <c r="L151">
        <f t="shared" si="34"/>
        <v>-44.66</v>
      </c>
      <c r="M151" t="str">
        <f t="shared" si="35"/>
        <v/>
      </c>
      <c r="N151" t="e">
        <f t="shared" si="31"/>
        <v>#N/A</v>
      </c>
      <c r="P151">
        <f t="shared" si="36"/>
        <v>2</v>
      </c>
      <c r="Q151" t="str">
        <f t="shared" ca="1" si="37"/>
        <v/>
      </c>
      <c r="R151" t="str">
        <f t="shared" ca="1" si="38"/>
        <v/>
      </c>
      <c r="T151">
        <f t="shared" si="39"/>
        <v>0</v>
      </c>
      <c r="V151">
        <v>2</v>
      </c>
      <c r="W151" t="str">
        <f t="shared" si="29"/>
        <v/>
      </c>
    </row>
    <row r="152" spans="1:23" outlineLevel="2" x14ac:dyDescent="0.3">
      <c r="A152">
        <v>-45.18</v>
      </c>
      <c r="I152" t="str">
        <f t="shared" si="32"/>
        <v/>
      </c>
      <c r="J152" t="str">
        <f t="shared" si="33"/>
        <v/>
      </c>
      <c r="K152" t="e">
        <f t="shared" si="30"/>
        <v>#N/A</v>
      </c>
      <c r="L152">
        <f t="shared" si="34"/>
        <v>-45.18</v>
      </c>
      <c r="M152" t="str">
        <f t="shared" si="35"/>
        <v/>
      </c>
      <c r="N152" t="e">
        <f t="shared" si="31"/>
        <v>#N/A</v>
      </c>
      <c r="P152">
        <f t="shared" si="36"/>
        <v>2</v>
      </c>
      <c r="Q152" t="str">
        <f t="shared" ca="1" si="37"/>
        <v/>
      </c>
      <c r="R152" t="str">
        <f t="shared" ca="1" si="38"/>
        <v/>
      </c>
      <c r="T152">
        <f t="shared" si="39"/>
        <v>0</v>
      </c>
      <c r="V152">
        <v>2</v>
      </c>
      <c r="W152" t="str">
        <f t="shared" si="29"/>
        <v/>
      </c>
    </row>
    <row r="153" spans="1:23" outlineLevel="2" x14ac:dyDescent="0.3">
      <c r="A153">
        <v>-46.05</v>
      </c>
      <c r="I153" t="str">
        <f t="shared" si="32"/>
        <v/>
      </c>
      <c r="J153" t="str">
        <f t="shared" si="33"/>
        <v/>
      </c>
      <c r="K153" t="e">
        <f t="shared" si="30"/>
        <v>#N/A</v>
      </c>
      <c r="L153">
        <f t="shared" si="34"/>
        <v>-46.05</v>
      </c>
      <c r="M153" t="str">
        <f t="shared" si="35"/>
        <v/>
      </c>
      <c r="N153" t="e">
        <f t="shared" si="31"/>
        <v>#N/A</v>
      </c>
      <c r="P153">
        <f t="shared" si="36"/>
        <v>2</v>
      </c>
      <c r="Q153" t="str">
        <f t="shared" ca="1" si="37"/>
        <v/>
      </c>
      <c r="R153" t="str">
        <f t="shared" ca="1" si="38"/>
        <v/>
      </c>
      <c r="T153">
        <f t="shared" si="39"/>
        <v>0</v>
      </c>
      <c r="V153">
        <v>2</v>
      </c>
      <c r="W153" t="str">
        <f t="shared" si="29"/>
        <v/>
      </c>
    </row>
    <row r="154" spans="1:23" outlineLevel="2" x14ac:dyDescent="0.3">
      <c r="A154">
        <v>-45.7</v>
      </c>
      <c r="I154" t="str">
        <f t="shared" si="32"/>
        <v/>
      </c>
      <c r="J154" t="str">
        <f t="shared" si="33"/>
        <v/>
      </c>
      <c r="K154" t="e">
        <f t="shared" si="30"/>
        <v>#N/A</v>
      </c>
      <c r="L154">
        <f t="shared" si="34"/>
        <v>-45.7</v>
      </c>
      <c r="M154" t="str">
        <f t="shared" si="35"/>
        <v/>
      </c>
      <c r="N154" t="e">
        <f t="shared" si="31"/>
        <v>#N/A</v>
      </c>
      <c r="P154">
        <f t="shared" si="36"/>
        <v>2</v>
      </c>
      <c r="Q154" t="str">
        <f t="shared" ca="1" si="37"/>
        <v/>
      </c>
      <c r="R154" t="str">
        <f t="shared" ca="1" si="38"/>
        <v/>
      </c>
      <c r="T154">
        <f t="shared" si="39"/>
        <v>0</v>
      </c>
      <c r="V154">
        <v>2</v>
      </c>
      <c r="W154" t="str">
        <f t="shared" si="29"/>
        <v/>
      </c>
    </row>
    <row r="155" spans="1:23" outlineLevel="2" x14ac:dyDescent="0.3">
      <c r="A155">
        <v>-45.22</v>
      </c>
      <c r="I155" t="str">
        <f t="shared" si="32"/>
        <v/>
      </c>
      <c r="J155" t="str">
        <f t="shared" si="33"/>
        <v/>
      </c>
      <c r="K155" t="e">
        <f t="shared" si="30"/>
        <v>#N/A</v>
      </c>
      <c r="L155">
        <f t="shared" si="34"/>
        <v>-45.22</v>
      </c>
      <c r="M155" t="str">
        <f t="shared" si="35"/>
        <v/>
      </c>
      <c r="N155" t="e">
        <f t="shared" si="31"/>
        <v>#N/A</v>
      </c>
      <c r="P155">
        <f t="shared" si="36"/>
        <v>2</v>
      </c>
      <c r="Q155" t="str">
        <f t="shared" ca="1" si="37"/>
        <v/>
      </c>
      <c r="R155" t="str">
        <f t="shared" ca="1" si="38"/>
        <v/>
      </c>
      <c r="T155">
        <f t="shared" si="39"/>
        <v>0</v>
      </c>
      <c r="V155">
        <v>2</v>
      </c>
      <c r="W155" t="str">
        <f t="shared" si="29"/>
        <v/>
      </c>
    </row>
    <row r="156" spans="1:23" outlineLevel="2" x14ac:dyDescent="0.3">
      <c r="A156">
        <v>-46.02</v>
      </c>
      <c r="I156" t="str">
        <f t="shared" si="32"/>
        <v/>
      </c>
      <c r="J156" t="str">
        <f t="shared" si="33"/>
        <v/>
      </c>
      <c r="K156" t="e">
        <f t="shared" si="30"/>
        <v>#N/A</v>
      </c>
      <c r="L156">
        <f t="shared" si="34"/>
        <v>-46.02</v>
      </c>
      <c r="M156" t="str">
        <f t="shared" si="35"/>
        <v/>
      </c>
      <c r="N156" t="e">
        <f t="shared" si="31"/>
        <v>#N/A</v>
      </c>
      <c r="P156">
        <f t="shared" si="36"/>
        <v>2</v>
      </c>
      <c r="Q156" t="str">
        <f t="shared" ca="1" si="37"/>
        <v/>
      </c>
      <c r="R156" t="str">
        <f t="shared" ca="1" si="38"/>
        <v/>
      </c>
      <c r="T156">
        <f t="shared" si="39"/>
        <v>0</v>
      </c>
      <c r="V156">
        <v>2</v>
      </c>
      <c r="W156" t="str">
        <f t="shared" si="29"/>
        <v/>
      </c>
    </row>
    <row r="157" spans="1:23" outlineLevel="2" x14ac:dyDescent="0.3">
      <c r="A157">
        <v>-47.34</v>
      </c>
      <c r="I157" t="str">
        <f t="shared" si="32"/>
        <v/>
      </c>
      <c r="J157" t="str">
        <f t="shared" si="33"/>
        <v/>
      </c>
      <c r="K157" t="e">
        <f t="shared" si="30"/>
        <v>#N/A</v>
      </c>
      <c r="L157">
        <f t="shared" si="34"/>
        <v>-47.34</v>
      </c>
      <c r="M157" t="str">
        <f t="shared" si="35"/>
        <v/>
      </c>
      <c r="N157" t="e">
        <f t="shared" si="31"/>
        <v>#N/A</v>
      </c>
      <c r="P157">
        <f t="shared" si="36"/>
        <v>2</v>
      </c>
      <c r="Q157" t="str">
        <f t="shared" ca="1" si="37"/>
        <v/>
      </c>
      <c r="R157" t="str">
        <f t="shared" ca="1" si="38"/>
        <v/>
      </c>
      <c r="T157">
        <f t="shared" si="39"/>
        <v>0</v>
      </c>
      <c r="V157">
        <v>2</v>
      </c>
      <c r="W157" t="str">
        <f t="shared" si="29"/>
        <v/>
      </c>
    </row>
    <row r="158" spans="1:23" outlineLevel="2" x14ac:dyDescent="0.3">
      <c r="A158">
        <v>-47.95</v>
      </c>
      <c r="I158" t="str">
        <f t="shared" si="32"/>
        <v/>
      </c>
      <c r="J158" t="str">
        <f t="shared" si="33"/>
        <v/>
      </c>
      <c r="K158" t="e">
        <f t="shared" si="30"/>
        <v>#N/A</v>
      </c>
      <c r="L158">
        <f t="shared" si="34"/>
        <v>-47.95</v>
      </c>
      <c r="M158" t="str">
        <f t="shared" si="35"/>
        <v/>
      </c>
      <c r="N158" t="e">
        <f t="shared" si="31"/>
        <v>#N/A</v>
      </c>
      <c r="P158">
        <f t="shared" si="36"/>
        <v>2</v>
      </c>
      <c r="Q158" t="str">
        <f t="shared" ca="1" si="37"/>
        <v/>
      </c>
      <c r="R158" t="str">
        <f t="shared" ca="1" si="38"/>
        <v/>
      </c>
      <c r="T158">
        <f t="shared" si="39"/>
        <v>0</v>
      </c>
      <c r="V158">
        <v>2</v>
      </c>
      <c r="W158" t="str">
        <f t="shared" si="29"/>
        <v/>
      </c>
    </row>
    <row r="159" spans="1:23" outlineLevel="2" x14ac:dyDescent="0.3">
      <c r="A159">
        <v>-47.23</v>
      </c>
      <c r="I159" t="str">
        <f t="shared" si="32"/>
        <v/>
      </c>
      <c r="J159" t="str">
        <f t="shared" si="33"/>
        <v/>
      </c>
      <c r="K159" t="e">
        <f t="shared" si="30"/>
        <v>#N/A</v>
      </c>
      <c r="L159">
        <f t="shared" si="34"/>
        <v>-47.23</v>
      </c>
      <c r="M159" t="str">
        <f t="shared" si="35"/>
        <v/>
      </c>
      <c r="N159" t="e">
        <f t="shared" si="31"/>
        <v>#N/A</v>
      </c>
      <c r="P159">
        <f t="shared" si="36"/>
        <v>2</v>
      </c>
      <c r="Q159" t="str">
        <f t="shared" ca="1" si="37"/>
        <v/>
      </c>
      <c r="R159" t="str">
        <f t="shared" ca="1" si="38"/>
        <v/>
      </c>
      <c r="T159">
        <f t="shared" si="39"/>
        <v>0</v>
      </c>
      <c r="V159">
        <v>2</v>
      </c>
      <c r="W159" t="str">
        <f t="shared" si="29"/>
        <v/>
      </c>
    </row>
    <row r="160" spans="1:23" outlineLevel="2" x14ac:dyDescent="0.3">
      <c r="A160">
        <v>-45.79</v>
      </c>
      <c r="I160" t="str">
        <f t="shared" si="32"/>
        <v/>
      </c>
      <c r="J160" t="str">
        <f t="shared" si="33"/>
        <v/>
      </c>
      <c r="K160" t="e">
        <f t="shared" si="30"/>
        <v>#N/A</v>
      </c>
      <c r="L160">
        <f t="shared" si="34"/>
        <v>-45.79</v>
      </c>
      <c r="M160" t="str">
        <f t="shared" si="35"/>
        <v/>
      </c>
      <c r="N160" t="e">
        <f t="shared" si="31"/>
        <v>#N/A</v>
      </c>
      <c r="P160">
        <f t="shared" si="36"/>
        <v>2</v>
      </c>
      <c r="Q160" t="str">
        <f t="shared" ca="1" si="37"/>
        <v/>
      </c>
      <c r="R160" t="str">
        <f t="shared" ca="1" si="38"/>
        <v/>
      </c>
      <c r="T160">
        <f t="shared" si="39"/>
        <v>0</v>
      </c>
      <c r="V160">
        <v>2</v>
      </c>
      <c r="W160" t="str">
        <f t="shared" si="29"/>
        <v/>
      </c>
    </row>
    <row r="161" spans="1:23" outlineLevel="2" x14ac:dyDescent="0.3">
      <c r="A161">
        <v>-43.49</v>
      </c>
      <c r="I161" t="str">
        <f t="shared" si="32"/>
        <v/>
      </c>
      <c r="J161" t="str">
        <f t="shared" si="33"/>
        <v/>
      </c>
      <c r="K161" t="e">
        <f t="shared" si="30"/>
        <v>#N/A</v>
      </c>
      <c r="L161">
        <f t="shared" si="34"/>
        <v>-43.49</v>
      </c>
      <c r="M161" t="str">
        <f t="shared" si="35"/>
        <v/>
      </c>
      <c r="N161" t="e">
        <f t="shared" si="31"/>
        <v>#N/A</v>
      </c>
      <c r="P161">
        <f t="shared" si="36"/>
        <v>2</v>
      </c>
      <c r="Q161" t="str">
        <f t="shared" ca="1" si="37"/>
        <v/>
      </c>
      <c r="R161" t="str">
        <f t="shared" ca="1" si="38"/>
        <v/>
      </c>
      <c r="T161">
        <f t="shared" si="39"/>
        <v>0</v>
      </c>
      <c r="V161">
        <v>2</v>
      </c>
      <c r="W161" t="str">
        <f t="shared" si="29"/>
        <v/>
      </c>
    </row>
    <row r="162" spans="1:23" outlineLevel="2" x14ac:dyDescent="0.3">
      <c r="A162">
        <v>-38.799999999999997</v>
      </c>
      <c r="I162" t="str">
        <f t="shared" si="32"/>
        <v/>
      </c>
      <c r="J162" t="str">
        <f t="shared" si="33"/>
        <v/>
      </c>
      <c r="K162" t="e">
        <f t="shared" si="30"/>
        <v>#N/A</v>
      </c>
      <c r="L162">
        <f t="shared" si="34"/>
        <v>-38.799999999999997</v>
      </c>
      <c r="M162" t="str">
        <f t="shared" si="35"/>
        <v/>
      </c>
      <c r="N162" t="e">
        <f t="shared" si="31"/>
        <v>#N/A</v>
      </c>
      <c r="P162">
        <f t="shared" si="36"/>
        <v>2</v>
      </c>
      <c r="Q162" t="str">
        <f t="shared" ca="1" si="37"/>
        <v/>
      </c>
      <c r="R162" t="str">
        <f t="shared" ca="1" si="38"/>
        <v/>
      </c>
      <c r="T162">
        <f t="shared" si="39"/>
        <v>0</v>
      </c>
      <c r="V162">
        <v>2</v>
      </c>
      <c r="W162" t="str">
        <f t="shared" si="29"/>
        <v/>
      </c>
    </row>
    <row r="163" spans="1:23" outlineLevel="2" x14ac:dyDescent="0.3">
      <c r="A163">
        <v>-33.21</v>
      </c>
      <c r="I163" t="str">
        <f t="shared" si="32"/>
        <v/>
      </c>
      <c r="J163" t="str">
        <f t="shared" si="33"/>
        <v/>
      </c>
      <c r="K163" t="e">
        <f t="shared" si="30"/>
        <v>#N/A</v>
      </c>
      <c r="L163">
        <f t="shared" si="34"/>
        <v>-33.21</v>
      </c>
      <c r="M163" t="str">
        <f t="shared" si="35"/>
        <v/>
      </c>
      <c r="N163" t="e">
        <f t="shared" si="31"/>
        <v>#N/A</v>
      </c>
      <c r="P163">
        <f t="shared" si="36"/>
        <v>2</v>
      </c>
      <c r="Q163" t="str">
        <f t="shared" ca="1" si="37"/>
        <v/>
      </c>
      <c r="R163" t="str">
        <f t="shared" ca="1" si="38"/>
        <v/>
      </c>
      <c r="T163">
        <f t="shared" si="39"/>
        <v>0</v>
      </c>
      <c r="V163">
        <v>2</v>
      </c>
      <c r="W163" t="str">
        <f t="shared" si="29"/>
        <v/>
      </c>
    </row>
    <row r="164" spans="1:23" outlineLevel="2" x14ac:dyDescent="0.3">
      <c r="A164">
        <v>-32.700000000000003</v>
      </c>
      <c r="I164" t="str">
        <f t="shared" si="32"/>
        <v/>
      </c>
      <c r="J164" t="str">
        <f t="shared" si="33"/>
        <v/>
      </c>
      <c r="K164" t="e">
        <f t="shared" si="30"/>
        <v>#N/A</v>
      </c>
      <c r="L164">
        <f t="shared" si="34"/>
        <v>-32.700000000000003</v>
      </c>
      <c r="M164" t="str">
        <f t="shared" si="35"/>
        <v/>
      </c>
      <c r="N164" t="e">
        <f t="shared" si="31"/>
        <v>#N/A</v>
      </c>
      <c r="P164">
        <f t="shared" si="36"/>
        <v>2</v>
      </c>
      <c r="Q164" t="str">
        <f t="shared" ca="1" si="37"/>
        <v/>
      </c>
      <c r="R164" t="str">
        <f t="shared" ca="1" si="38"/>
        <v/>
      </c>
      <c r="T164">
        <f t="shared" si="39"/>
        <v>0</v>
      </c>
      <c r="V164">
        <v>2</v>
      </c>
      <c r="W164" t="str">
        <f t="shared" si="29"/>
        <v/>
      </c>
    </row>
    <row r="165" spans="1:23" outlineLevel="2" x14ac:dyDescent="0.3">
      <c r="A165">
        <v>-38.28</v>
      </c>
      <c r="I165" t="str">
        <f t="shared" si="32"/>
        <v/>
      </c>
      <c r="J165" t="str">
        <f t="shared" si="33"/>
        <v/>
      </c>
      <c r="K165" t="e">
        <f t="shared" ref="K165:K186" si="40">MATCH(J165,$A$1:$A$10041,0)</f>
        <v>#N/A</v>
      </c>
      <c r="L165">
        <f t="shared" si="34"/>
        <v>-38.28</v>
      </c>
      <c r="M165" t="str">
        <f t="shared" si="35"/>
        <v/>
      </c>
      <c r="N165" t="e">
        <f t="shared" ref="N165:N186" si="41">MATCH(M165,$A$1:$A$10041,0)</f>
        <v>#N/A</v>
      </c>
      <c r="P165">
        <f t="shared" si="36"/>
        <v>2</v>
      </c>
      <c r="Q165" t="str">
        <f t="shared" ca="1" si="37"/>
        <v/>
      </c>
      <c r="R165" t="str">
        <f t="shared" ca="1" si="38"/>
        <v/>
      </c>
      <c r="T165">
        <f t="shared" si="39"/>
        <v>0</v>
      </c>
      <c r="V165">
        <v>2</v>
      </c>
      <c r="W165" t="str">
        <f t="shared" si="29"/>
        <v/>
      </c>
    </row>
    <row r="166" spans="1:23" outlineLevel="2" x14ac:dyDescent="0.3">
      <c r="A166">
        <v>-43.04</v>
      </c>
      <c r="I166" t="str">
        <f t="shared" si="32"/>
        <v/>
      </c>
      <c r="J166" t="str">
        <f t="shared" si="33"/>
        <v/>
      </c>
      <c r="K166" t="e">
        <f t="shared" si="40"/>
        <v>#N/A</v>
      </c>
      <c r="L166">
        <f t="shared" si="34"/>
        <v>-43.04</v>
      </c>
      <c r="M166" t="str">
        <f t="shared" si="35"/>
        <v/>
      </c>
      <c r="N166" t="e">
        <f t="shared" si="41"/>
        <v>#N/A</v>
      </c>
      <c r="P166">
        <f t="shared" si="36"/>
        <v>2</v>
      </c>
      <c r="Q166" t="str">
        <f t="shared" ca="1" si="37"/>
        <v/>
      </c>
      <c r="R166" t="str">
        <f t="shared" ca="1" si="38"/>
        <v/>
      </c>
      <c r="T166">
        <f t="shared" si="39"/>
        <v>0</v>
      </c>
      <c r="V166">
        <v>2</v>
      </c>
      <c r="W166" t="str">
        <f t="shared" si="29"/>
        <v/>
      </c>
    </row>
    <row r="167" spans="1:23" outlineLevel="2" x14ac:dyDescent="0.3">
      <c r="A167">
        <v>-43.37</v>
      </c>
      <c r="I167" t="str">
        <f t="shared" si="32"/>
        <v/>
      </c>
      <c r="J167" t="str">
        <f t="shared" si="33"/>
        <v/>
      </c>
      <c r="K167" t="e">
        <f t="shared" si="40"/>
        <v>#N/A</v>
      </c>
      <c r="L167">
        <f t="shared" si="34"/>
        <v>-43.37</v>
      </c>
      <c r="M167" t="str">
        <f t="shared" si="35"/>
        <v/>
      </c>
      <c r="N167" t="e">
        <f t="shared" si="41"/>
        <v>#N/A</v>
      </c>
      <c r="P167">
        <f t="shared" si="36"/>
        <v>2</v>
      </c>
      <c r="Q167" t="str">
        <f t="shared" ca="1" si="37"/>
        <v/>
      </c>
      <c r="R167" t="str">
        <f t="shared" ca="1" si="38"/>
        <v/>
      </c>
      <c r="T167">
        <f t="shared" si="39"/>
        <v>0</v>
      </c>
      <c r="V167">
        <v>2</v>
      </c>
      <c r="W167" t="str">
        <f t="shared" si="29"/>
        <v/>
      </c>
    </row>
    <row r="168" spans="1:23" outlineLevel="2" x14ac:dyDescent="0.3">
      <c r="A168">
        <v>-42.44</v>
      </c>
      <c r="I168" t="str">
        <f t="shared" si="32"/>
        <v/>
      </c>
      <c r="J168" t="str">
        <f t="shared" si="33"/>
        <v/>
      </c>
      <c r="K168" t="e">
        <f t="shared" si="40"/>
        <v>#N/A</v>
      </c>
      <c r="L168">
        <f t="shared" si="34"/>
        <v>-42.44</v>
      </c>
      <c r="M168" t="str">
        <f t="shared" si="35"/>
        <v/>
      </c>
      <c r="N168" t="e">
        <f t="shared" si="41"/>
        <v>#N/A</v>
      </c>
      <c r="P168">
        <f t="shared" si="36"/>
        <v>2</v>
      </c>
      <c r="Q168" t="str">
        <f t="shared" ca="1" si="37"/>
        <v/>
      </c>
      <c r="R168" t="str">
        <f t="shared" ca="1" si="38"/>
        <v/>
      </c>
      <c r="T168">
        <f t="shared" si="39"/>
        <v>0</v>
      </c>
      <c r="V168">
        <v>2</v>
      </c>
      <c r="W168" t="str">
        <f t="shared" si="29"/>
        <v/>
      </c>
    </row>
    <row r="169" spans="1:23" outlineLevel="2" x14ac:dyDescent="0.3">
      <c r="A169">
        <v>-42.75</v>
      </c>
      <c r="I169" t="str">
        <f t="shared" si="32"/>
        <v/>
      </c>
      <c r="J169" t="str">
        <f t="shared" si="33"/>
        <v/>
      </c>
      <c r="K169" t="e">
        <f t="shared" si="40"/>
        <v>#N/A</v>
      </c>
      <c r="L169">
        <f t="shared" si="34"/>
        <v>-42.75</v>
      </c>
      <c r="M169" t="str">
        <f t="shared" si="35"/>
        <v/>
      </c>
      <c r="N169" t="e">
        <f t="shared" si="41"/>
        <v>#N/A</v>
      </c>
      <c r="P169">
        <f t="shared" si="36"/>
        <v>2</v>
      </c>
      <c r="Q169" t="str">
        <f t="shared" ca="1" si="37"/>
        <v/>
      </c>
      <c r="R169" t="str">
        <f t="shared" ca="1" si="38"/>
        <v/>
      </c>
      <c r="T169">
        <f t="shared" si="39"/>
        <v>0</v>
      </c>
      <c r="V169">
        <v>2</v>
      </c>
      <c r="W169" t="str">
        <f t="shared" si="29"/>
        <v/>
      </c>
    </row>
    <row r="170" spans="1:23" outlineLevel="2" x14ac:dyDescent="0.3">
      <c r="A170">
        <v>-43.05</v>
      </c>
      <c r="I170" t="str">
        <f t="shared" si="32"/>
        <v/>
      </c>
      <c r="J170" t="str">
        <f t="shared" si="33"/>
        <v/>
      </c>
      <c r="K170" t="e">
        <f t="shared" si="40"/>
        <v>#N/A</v>
      </c>
      <c r="L170">
        <f t="shared" si="34"/>
        <v>-43.05</v>
      </c>
      <c r="M170" t="str">
        <f t="shared" si="35"/>
        <v/>
      </c>
      <c r="N170" t="e">
        <f t="shared" si="41"/>
        <v>#N/A</v>
      </c>
      <c r="P170">
        <f t="shared" si="36"/>
        <v>2</v>
      </c>
      <c r="Q170" t="str">
        <f t="shared" ca="1" si="37"/>
        <v/>
      </c>
      <c r="R170" t="str">
        <f t="shared" ca="1" si="38"/>
        <v/>
      </c>
      <c r="T170">
        <f t="shared" si="39"/>
        <v>0</v>
      </c>
      <c r="V170">
        <v>2</v>
      </c>
      <c r="W170" t="str">
        <f t="shared" si="29"/>
        <v/>
      </c>
    </row>
    <row r="171" spans="1:23" outlineLevel="2" x14ac:dyDescent="0.3">
      <c r="A171">
        <v>-41.88</v>
      </c>
      <c r="I171" t="str">
        <f t="shared" si="32"/>
        <v/>
      </c>
      <c r="J171" t="str">
        <f t="shared" si="33"/>
        <v/>
      </c>
      <c r="K171" t="e">
        <f t="shared" si="40"/>
        <v>#N/A</v>
      </c>
      <c r="L171">
        <f t="shared" si="34"/>
        <v>-41.88</v>
      </c>
      <c r="M171" t="str">
        <f t="shared" si="35"/>
        <v/>
      </c>
      <c r="N171" t="e">
        <f t="shared" si="41"/>
        <v>#N/A</v>
      </c>
      <c r="P171">
        <f t="shared" si="36"/>
        <v>2</v>
      </c>
      <c r="Q171" t="str">
        <f t="shared" ca="1" si="37"/>
        <v/>
      </c>
      <c r="R171" t="str">
        <f t="shared" ca="1" si="38"/>
        <v/>
      </c>
      <c r="T171">
        <f t="shared" si="39"/>
        <v>0</v>
      </c>
      <c r="V171">
        <v>2</v>
      </c>
      <c r="W171" t="str">
        <f t="shared" si="29"/>
        <v/>
      </c>
    </row>
    <row r="172" spans="1:23" outlineLevel="2" x14ac:dyDescent="0.3">
      <c r="A172">
        <v>-41.06</v>
      </c>
      <c r="I172" t="str">
        <f t="shared" si="32"/>
        <v/>
      </c>
      <c r="J172" t="str">
        <f t="shared" si="33"/>
        <v/>
      </c>
      <c r="K172" t="e">
        <f t="shared" si="40"/>
        <v>#N/A</v>
      </c>
      <c r="L172">
        <f t="shared" si="34"/>
        <v>-41.06</v>
      </c>
      <c r="M172" t="str">
        <f t="shared" si="35"/>
        <v/>
      </c>
      <c r="N172" t="e">
        <f t="shared" si="41"/>
        <v>#N/A</v>
      </c>
      <c r="P172">
        <f t="shared" si="36"/>
        <v>2</v>
      </c>
      <c r="Q172" t="str">
        <f t="shared" ca="1" si="37"/>
        <v/>
      </c>
      <c r="R172" t="str">
        <f t="shared" ca="1" si="38"/>
        <v/>
      </c>
      <c r="T172">
        <f t="shared" si="39"/>
        <v>0</v>
      </c>
      <c r="V172">
        <v>2</v>
      </c>
      <c r="W172" t="str">
        <f t="shared" si="29"/>
        <v/>
      </c>
    </row>
    <row r="173" spans="1:23" outlineLevel="2" x14ac:dyDescent="0.3">
      <c r="A173">
        <v>-41.63</v>
      </c>
      <c r="I173" t="str">
        <f t="shared" si="32"/>
        <v/>
      </c>
      <c r="J173" t="str">
        <f t="shared" si="33"/>
        <v/>
      </c>
      <c r="K173" t="e">
        <f t="shared" si="40"/>
        <v>#N/A</v>
      </c>
      <c r="L173">
        <f t="shared" si="34"/>
        <v>-41.63</v>
      </c>
      <c r="M173" t="str">
        <f t="shared" si="35"/>
        <v/>
      </c>
      <c r="N173" t="e">
        <f t="shared" si="41"/>
        <v>#N/A</v>
      </c>
      <c r="P173">
        <f t="shared" si="36"/>
        <v>2</v>
      </c>
      <c r="Q173" t="str">
        <f t="shared" ca="1" si="37"/>
        <v/>
      </c>
      <c r="R173" t="str">
        <f t="shared" ca="1" si="38"/>
        <v/>
      </c>
      <c r="T173">
        <f t="shared" si="39"/>
        <v>0</v>
      </c>
      <c r="V173">
        <v>2</v>
      </c>
      <c r="W173" t="str">
        <f t="shared" si="29"/>
        <v/>
      </c>
    </row>
    <row r="174" spans="1:23" outlineLevel="2" x14ac:dyDescent="0.3">
      <c r="A174">
        <v>-40.880000000000003</v>
      </c>
      <c r="I174" t="str">
        <f t="shared" si="32"/>
        <v/>
      </c>
      <c r="J174" t="str">
        <f t="shared" si="33"/>
        <v/>
      </c>
      <c r="K174" t="e">
        <f t="shared" si="40"/>
        <v>#N/A</v>
      </c>
      <c r="L174">
        <f t="shared" si="34"/>
        <v>-40.880000000000003</v>
      </c>
      <c r="M174" t="str">
        <f t="shared" si="35"/>
        <v/>
      </c>
      <c r="N174" t="e">
        <f t="shared" si="41"/>
        <v>#N/A</v>
      </c>
      <c r="P174">
        <f t="shared" si="36"/>
        <v>2</v>
      </c>
      <c r="Q174" t="str">
        <f t="shared" ca="1" si="37"/>
        <v/>
      </c>
      <c r="R174" t="str">
        <f t="shared" ca="1" si="38"/>
        <v/>
      </c>
      <c r="T174">
        <f t="shared" si="39"/>
        <v>0</v>
      </c>
      <c r="V174">
        <v>2</v>
      </c>
      <c r="W174" t="str">
        <f t="shared" si="29"/>
        <v/>
      </c>
    </row>
    <row r="175" spans="1:23" outlineLevel="2" x14ac:dyDescent="0.3">
      <c r="A175">
        <v>-38.520000000000003</v>
      </c>
      <c r="I175" t="str">
        <f t="shared" si="32"/>
        <v/>
      </c>
      <c r="J175" t="str">
        <f t="shared" si="33"/>
        <v/>
      </c>
      <c r="K175" t="e">
        <f t="shared" si="40"/>
        <v>#N/A</v>
      </c>
      <c r="L175">
        <f t="shared" si="34"/>
        <v>-38.520000000000003</v>
      </c>
      <c r="M175" t="str">
        <f t="shared" si="35"/>
        <v/>
      </c>
      <c r="N175" t="e">
        <f t="shared" si="41"/>
        <v>#N/A</v>
      </c>
      <c r="P175">
        <f t="shared" si="36"/>
        <v>2</v>
      </c>
      <c r="Q175" t="str">
        <f t="shared" ca="1" si="37"/>
        <v/>
      </c>
      <c r="R175" t="str">
        <f t="shared" ca="1" si="38"/>
        <v/>
      </c>
      <c r="T175">
        <f t="shared" si="39"/>
        <v>0</v>
      </c>
      <c r="V175">
        <v>2</v>
      </c>
      <c r="W175" t="str">
        <f t="shared" si="29"/>
        <v/>
      </c>
    </row>
    <row r="176" spans="1:23" outlineLevel="2" x14ac:dyDescent="0.3">
      <c r="A176">
        <v>-38.340000000000003</v>
      </c>
      <c r="I176" t="str">
        <f t="shared" si="32"/>
        <v/>
      </c>
      <c r="J176" t="str">
        <f t="shared" si="33"/>
        <v/>
      </c>
      <c r="K176" t="e">
        <f t="shared" si="40"/>
        <v>#N/A</v>
      </c>
      <c r="L176">
        <f t="shared" si="34"/>
        <v>-38.340000000000003</v>
      </c>
      <c r="M176" t="str">
        <f t="shared" si="35"/>
        <v/>
      </c>
      <c r="N176" t="e">
        <f t="shared" si="41"/>
        <v>#N/A</v>
      </c>
      <c r="P176">
        <f t="shared" si="36"/>
        <v>2</v>
      </c>
      <c r="Q176" t="str">
        <f t="shared" ca="1" si="37"/>
        <v/>
      </c>
      <c r="R176" t="str">
        <f t="shared" ca="1" si="38"/>
        <v/>
      </c>
      <c r="T176">
        <f t="shared" si="39"/>
        <v>0</v>
      </c>
      <c r="V176">
        <v>2</v>
      </c>
      <c r="W176" t="str">
        <f t="shared" si="29"/>
        <v/>
      </c>
    </row>
    <row r="177" spans="1:23" outlineLevel="2" x14ac:dyDescent="0.3">
      <c r="A177">
        <v>-39.03</v>
      </c>
      <c r="I177" t="str">
        <f t="shared" si="32"/>
        <v/>
      </c>
      <c r="J177" t="str">
        <f t="shared" si="33"/>
        <v/>
      </c>
      <c r="K177" t="e">
        <f t="shared" si="40"/>
        <v>#N/A</v>
      </c>
      <c r="L177">
        <f t="shared" si="34"/>
        <v>-39.03</v>
      </c>
      <c r="M177" t="str">
        <f t="shared" si="35"/>
        <v/>
      </c>
      <c r="N177" t="e">
        <f t="shared" si="41"/>
        <v>#N/A</v>
      </c>
      <c r="P177">
        <f t="shared" si="36"/>
        <v>2</v>
      </c>
      <c r="Q177" t="str">
        <f t="shared" ca="1" si="37"/>
        <v/>
      </c>
      <c r="R177" t="str">
        <f t="shared" ca="1" si="38"/>
        <v/>
      </c>
      <c r="T177">
        <f t="shared" si="39"/>
        <v>0</v>
      </c>
      <c r="V177">
        <v>2</v>
      </c>
      <c r="W177" t="str">
        <f t="shared" si="29"/>
        <v/>
      </c>
    </row>
    <row r="178" spans="1:23" outlineLevel="2" x14ac:dyDescent="0.3">
      <c r="A178">
        <v>-35.5</v>
      </c>
      <c r="I178" t="str">
        <f t="shared" si="32"/>
        <v/>
      </c>
      <c r="J178" t="str">
        <f t="shared" si="33"/>
        <v/>
      </c>
      <c r="K178" t="e">
        <f t="shared" si="40"/>
        <v>#N/A</v>
      </c>
      <c r="L178">
        <f t="shared" si="34"/>
        <v>-35.5</v>
      </c>
      <c r="M178" t="str">
        <f t="shared" si="35"/>
        <v/>
      </c>
      <c r="N178" t="e">
        <f t="shared" si="41"/>
        <v>#N/A</v>
      </c>
      <c r="P178">
        <f t="shared" si="36"/>
        <v>2</v>
      </c>
      <c r="Q178" t="str">
        <f t="shared" ca="1" si="37"/>
        <v/>
      </c>
      <c r="R178" t="str">
        <f t="shared" ca="1" si="38"/>
        <v/>
      </c>
      <c r="T178">
        <f t="shared" si="39"/>
        <v>0</v>
      </c>
      <c r="V178">
        <v>2</v>
      </c>
      <c r="W178" t="str">
        <f t="shared" si="29"/>
        <v/>
      </c>
    </row>
    <row r="179" spans="1:23" outlineLevel="2" x14ac:dyDescent="0.3">
      <c r="A179">
        <v>-29.61</v>
      </c>
      <c r="I179" t="str">
        <f t="shared" si="32"/>
        <v/>
      </c>
      <c r="J179" t="str">
        <f t="shared" si="33"/>
        <v/>
      </c>
      <c r="K179" t="e">
        <f t="shared" si="40"/>
        <v>#N/A</v>
      </c>
      <c r="L179">
        <f t="shared" si="34"/>
        <v>-29.61</v>
      </c>
      <c r="M179" t="str">
        <f t="shared" si="35"/>
        <v/>
      </c>
      <c r="N179" t="e">
        <f t="shared" si="41"/>
        <v>#N/A</v>
      </c>
      <c r="P179">
        <f t="shared" si="36"/>
        <v>2</v>
      </c>
      <c r="Q179" t="str">
        <f t="shared" ca="1" si="37"/>
        <v/>
      </c>
      <c r="R179" t="str">
        <f t="shared" ca="1" si="38"/>
        <v/>
      </c>
      <c r="T179">
        <f t="shared" si="39"/>
        <v>0</v>
      </c>
      <c r="V179">
        <v>2</v>
      </c>
      <c r="W179" t="str">
        <f t="shared" si="29"/>
        <v/>
      </c>
    </row>
    <row r="180" spans="1:23" outlineLevel="2" x14ac:dyDescent="0.3">
      <c r="A180">
        <v>-26.81</v>
      </c>
      <c r="I180" t="str">
        <f t="shared" si="32"/>
        <v/>
      </c>
      <c r="J180" t="str">
        <f t="shared" si="33"/>
        <v/>
      </c>
      <c r="K180" t="e">
        <f t="shared" si="40"/>
        <v>#N/A</v>
      </c>
      <c r="L180">
        <f t="shared" si="34"/>
        <v>-26.81</v>
      </c>
      <c r="M180" t="str">
        <f t="shared" si="35"/>
        <v/>
      </c>
      <c r="N180" t="e">
        <f t="shared" si="41"/>
        <v>#N/A</v>
      </c>
      <c r="P180">
        <f t="shared" si="36"/>
        <v>2</v>
      </c>
      <c r="Q180" t="str">
        <f t="shared" ca="1" si="37"/>
        <v/>
      </c>
      <c r="R180" t="str">
        <f t="shared" ca="1" si="38"/>
        <v/>
      </c>
      <c r="T180">
        <f t="shared" si="39"/>
        <v>0</v>
      </c>
      <c r="V180">
        <v>2</v>
      </c>
      <c r="W180" t="str">
        <f t="shared" si="29"/>
        <v/>
      </c>
    </row>
    <row r="181" spans="1:23" outlineLevel="2" x14ac:dyDescent="0.3">
      <c r="A181">
        <v>-26.66</v>
      </c>
      <c r="I181" t="str">
        <f t="shared" si="32"/>
        <v/>
      </c>
      <c r="J181" t="str">
        <f t="shared" si="33"/>
        <v/>
      </c>
      <c r="K181" t="e">
        <f t="shared" si="40"/>
        <v>#N/A</v>
      </c>
      <c r="L181">
        <f t="shared" si="34"/>
        <v>-26.66</v>
      </c>
      <c r="M181" t="str">
        <f t="shared" si="35"/>
        <v/>
      </c>
      <c r="N181" t="e">
        <f t="shared" si="41"/>
        <v>#N/A</v>
      </c>
      <c r="P181">
        <f t="shared" si="36"/>
        <v>2</v>
      </c>
      <c r="Q181" t="str">
        <f t="shared" ca="1" si="37"/>
        <v/>
      </c>
      <c r="R181" t="str">
        <f t="shared" ca="1" si="38"/>
        <v/>
      </c>
      <c r="T181">
        <f t="shared" si="39"/>
        <v>0</v>
      </c>
      <c r="V181">
        <v>2</v>
      </c>
      <c r="W181" t="str">
        <f t="shared" si="29"/>
        <v/>
      </c>
    </row>
    <row r="182" spans="1:23" outlineLevel="2" x14ac:dyDescent="0.3">
      <c r="A182">
        <v>-24.66</v>
      </c>
      <c r="I182" t="str">
        <f t="shared" si="32"/>
        <v/>
      </c>
      <c r="J182" t="str">
        <f t="shared" si="33"/>
        <v/>
      </c>
      <c r="K182" t="e">
        <f t="shared" si="40"/>
        <v>#N/A</v>
      </c>
      <c r="L182">
        <f t="shared" si="34"/>
        <v>-24.66</v>
      </c>
      <c r="M182" t="str">
        <f t="shared" si="35"/>
        <v/>
      </c>
      <c r="N182" t="e">
        <f t="shared" si="41"/>
        <v>#N/A</v>
      </c>
      <c r="P182">
        <f t="shared" si="36"/>
        <v>2</v>
      </c>
      <c r="Q182" t="str">
        <f t="shared" ca="1" si="37"/>
        <v/>
      </c>
      <c r="R182" t="str">
        <f t="shared" ca="1" si="38"/>
        <v/>
      </c>
      <c r="T182">
        <f t="shared" si="39"/>
        <v>0</v>
      </c>
      <c r="V182">
        <v>2</v>
      </c>
      <c r="W182" t="str">
        <f t="shared" si="29"/>
        <v/>
      </c>
    </row>
    <row r="183" spans="1:23" outlineLevel="2" x14ac:dyDescent="0.3">
      <c r="A183">
        <v>-19.97</v>
      </c>
      <c r="I183" t="str">
        <f t="shared" si="32"/>
        <v/>
      </c>
      <c r="J183" t="str">
        <f t="shared" si="33"/>
        <v/>
      </c>
      <c r="K183" t="e">
        <f t="shared" si="40"/>
        <v>#N/A</v>
      </c>
      <c r="L183">
        <f t="shared" si="34"/>
        <v>-19.97</v>
      </c>
      <c r="M183" t="str">
        <f t="shared" si="35"/>
        <v/>
      </c>
      <c r="N183" t="e">
        <f t="shared" si="41"/>
        <v>#N/A</v>
      </c>
      <c r="P183">
        <f t="shared" si="36"/>
        <v>2</v>
      </c>
      <c r="Q183" t="str">
        <f t="shared" ca="1" si="37"/>
        <v/>
      </c>
      <c r="R183" t="str">
        <f t="shared" ca="1" si="38"/>
        <v/>
      </c>
      <c r="T183">
        <f t="shared" si="39"/>
        <v>0</v>
      </c>
      <c r="V183">
        <v>2</v>
      </c>
      <c r="W183" t="str">
        <f t="shared" si="29"/>
        <v/>
      </c>
    </row>
    <row r="184" spans="1:23" outlineLevel="2" x14ac:dyDescent="0.3">
      <c r="A184">
        <v>-15.49</v>
      </c>
      <c r="I184" t="str">
        <f t="shared" si="32"/>
        <v/>
      </c>
      <c r="J184" t="str">
        <f t="shared" si="33"/>
        <v/>
      </c>
      <c r="K184" t="e">
        <f t="shared" si="40"/>
        <v>#N/A</v>
      </c>
      <c r="L184">
        <f t="shared" si="34"/>
        <v>-15.49</v>
      </c>
      <c r="M184" t="str">
        <f t="shared" si="35"/>
        <v/>
      </c>
      <c r="N184" t="e">
        <f t="shared" si="41"/>
        <v>#N/A</v>
      </c>
      <c r="P184">
        <f t="shared" si="36"/>
        <v>2</v>
      </c>
      <c r="Q184" t="str">
        <f t="shared" ca="1" si="37"/>
        <v/>
      </c>
      <c r="R184" t="str">
        <f t="shared" ca="1" si="38"/>
        <v/>
      </c>
      <c r="T184">
        <f t="shared" si="39"/>
        <v>0</v>
      </c>
      <c r="V184">
        <v>2</v>
      </c>
      <c r="W184" t="str">
        <f t="shared" si="29"/>
        <v/>
      </c>
    </row>
    <row r="185" spans="1:23" outlineLevel="2" x14ac:dyDescent="0.3">
      <c r="A185">
        <v>-13.17</v>
      </c>
      <c r="I185" t="str">
        <f t="shared" si="32"/>
        <v/>
      </c>
      <c r="J185" t="str">
        <f>IF(AND(I186&gt;I185,I186&gt;I188,I186&gt;$D$5),I186,"")</f>
        <v/>
      </c>
      <c r="K185" t="e">
        <f t="shared" si="40"/>
        <v>#N/A</v>
      </c>
      <c r="L185">
        <f t="shared" si="34"/>
        <v>-13.17</v>
      </c>
      <c r="M185" t="str">
        <f>IF(AND(L186&lt;L185,L186&lt;L188,L186&lt;$G$5),L186,"")</f>
        <v/>
      </c>
      <c r="N185" t="e">
        <f t="shared" si="41"/>
        <v>#N/A</v>
      </c>
      <c r="P185">
        <f t="shared" si="36"/>
        <v>2</v>
      </c>
      <c r="Q185" t="str">
        <f t="shared" ca="1" si="37"/>
        <v/>
      </c>
      <c r="R185" t="str">
        <f t="shared" ca="1" si="38"/>
        <v/>
      </c>
      <c r="T185">
        <f t="shared" si="39"/>
        <v>0</v>
      </c>
      <c r="V185">
        <v>2</v>
      </c>
      <c r="W185" t="str">
        <f t="shared" si="29"/>
        <v/>
      </c>
    </row>
    <row r="186" spans="1:23" outlineLevel="2" x14ac:dyDescent="0.3">
      <c r="A186">
        <v>-12.18</v>
      </c>
      <c r="I186" t="str">
        <f t="shared" si="32"/>
        <v/>
      </c>
      <c r="J186" t="str">
        <f>IF(AND(I188&gt;I186,I188&gt;I189,I188&gt;$D$5),I188,"")</f>
        <v/>
      </c>
      <c r="K186" t="e">
        <f t="shared" si="40"/>
        <v>#N/A</v>
      </c>
      <c r="L186">
        <f t="shared" si="34"/>
        <v>-12.18</v>
      </c>
      <c r="M186" t="str">
        <f>IF(AND(L188&lt;L186,L188&lt;L189,L188&lt;$G$5),L188,"")</f>
        <v/>
      </c>
      <c r="N186" t="e">
        <f t="shared" si="41"/>
        <v>#N/A</v>
      </c>
      <c r="P186">
        <f t="shared" si="36"/>
        <v>2</v>
      </c>
      <c r="Q186">
        <f ca="1">IF(AND(A188&gt;=0,A186&lt;0),CELL("ROW",A188),IF(AND(A188&lt;0,A186&gt;=0),CELL("ROW",A188),""))</f>
        <v>188</v>
      </c>
      <c r="R186" t="str">
        <f t="shared" ca="1" si="38"/>
        <v>188</v>
      </c>
      <c r="T186">
        <f>S188-S186</f>
        <v>0</v>
      </c>
      <c r="V186">
        <v>2</v>
      </c>
      <c r="W186" t="str">
        <f t="shared" si="29"/>
        <v/>
      </c>
    </row>
    <row r="187" spans="1:23" outlineLevel="1" x14ac:dyDescent="0.3">
      <c r="O187" s="1" t="s">
        <v>27</v>
      </c>
      <c r="P187">
        <f>SUBTOTAL(3,P133:P186)</f>
        <v>54</v>
      </c>
      <c r="V187">
        <v>54</v>
      </c>
      <c r="W187" t="str">
        <f t="shared" si="29"/>
        <v/>
      </c>
    </row>
    <row r="188" spans="1:23" outlineLevel="2" x14ac:dyDescent="0.3">
      <c r="A188">
        <v>13.43</v>
      </c>
      <c r="I188">
        <f t="shared" si="32"/>
        <v>13.43</v>
      </c>
      <c r="J188" t="str">
        <f t="shared" si="33"/>
        <v/>
      </c>
      <c r="K188" t="e">
        <f t="shared" ref="K188:K219" si="42">MATCH(J188,$A$1:$A$10041,0)</f>
        <v>#N/A</v>
      </c>
      <c r="L188" t="str">
        <f t="shared" si="34"/>
        <v/>
      </c>
      <c r="M188" t="str">
        <f t="shared" si="35"/>
        <v/>
      </c>
      <c r="N188" t="e">
        <f t="shared" ref="N188:N219" si="43">MATCH(M188,$A$1:$A$10041,0)</f>
        <v>#N/A</v>
      </c>
      <c r="P188">
        <f t="shared" si="36"/>
        <v>1</v>
      </c>
      <c r="Q188" t="str">
        <f t="shared" ca="1" si="37"/>
        <v/>
      </c>
      <c r="R188" t="str">
        <f t="shared" ca="1" si="38"/>
        <v/>
      </c>
      <c r="T188">
        <f t="shared" si="39"/>
        <v>0</v>
      </c>
      <c r="V188">
        <v>1</v>
      </c>
      <c r="W188" t="str">
        <f t="shared" si="29"/>
        <v/>
      </c>
    </row>
    <row r="189" spans="1:23" outlineLevel="2" x14ac:dyDescent="0.3">
      <c r="A189">
        <v>16.559999999999999</v>
      </c>
      <c r="I189">
        <f t="shared" si="32"/>
        <v>16.559999999999999</v>
      </c>
      <c r="J189" t="str">
        <f t="shared" si="33"/>
        <v/>
      </c>
      <c r="K189" t="e">
        <f t="shared" si="42"/>
        <v>#N/A</v>
      </c>
      <c r="L189" t="str">
        <f t="shared" si="34"/>
        <v/>
      </c>
      <c r="M189" t="str">
        <f t="shared" si="35"/>
        <v/>
      </c>
      <c r="N189" t="e">
        <f t="shared" si="43"/>
        <v>#N/A</v>
      </c>
      <c r="P189">
        <f t="shared" si="36"/>
        <v>1</v>
      </c>
      <c r="Q189" t="str">
        <f t="shared" ca="1" si="37"/>
        <v/>
      </c>
      <c r="R189" t="str">
        <f t="shared" ca="1" si="38"/>
        <v/>
      </c>
      <c r="T189">
        <f t="shared" si="39"/>
        <v>0</v>
      </c>
      <c r="V189">
        <v>1</v>
      </c>
      <c r="W189" t="str">
        <f t="shared" si="29"/>
        <v/>
      </c>
    </row>
    <row r="190" spans="1:23" outlineLevel="2" x14ac:dyDescent="0.3">
      <c r="A190">
        <v>17.63</v>
      </c>
      <c r="I190">
        <f t="shared" si="32"/>
        <v>17.63</v>
      </c>
      <c r="J190" t="str">
        <f t="shared" si="33"/>
        <v/>
      </c>
      <c r="K190" t="e">
        <f t="shared" si="42"/>
        <v>#N/A</v>
      </c>
      <c r="L190" t="str">
        <f t="shared" si="34"/>
        <v/>
      </c>
      <c r="M190" t="str">
        <f t="shared" si="35"/>
        <v/>
      </c>
      <c r="N190" t="e">
        <f t="shared" si="43"/>
        <v>#N/A</v>
      </c>
      <c r="P190">
        <f t="shared" si="36"/>
        <v>1</v>
      </c>
      <c r="Q190" t="str">
        <f t="shared" ca="1" si="37"/>
        <v/>
      </c>
      <c r="R190" t="str">
        <f t="shared" ca="1" si="38"/>
        <v/>
      </c>
      <c r="T190">
        <f t="shared" si="39"/>
        <v>0</v>
      </c>
      <c r="V190">
        <v>1</v>
      </c>
      <c r="W190" t="str">
        <f t="shared" si="29"/>
        <v/>
      </c>
    </row>
    <row r="191" spans="1:23" outlineLevel="2" x14ac:dyDescent="0.3">
      <c r="A191">
        <v>17.63</v>
      </c>
      <c r="I191">
        <f t="shared" si="32"/>
        <v>17.63</v>
      </c>
      <c r="J191" t="str">
        <f t="shared" si="33"/>
        <v/>
      </c>
      <c r="K191" t="e">
        <f t="shared" si="42"/>
        <v>#N/A</v>
      </c>
      <c r="L191" t="str">
        <f t="shared" si="34"/>
        <v/>
      </c>
      <c r="M191" t="str">
        <f t="shared" si="35"/>
        <v/>
      </c>
      <c r="N191" t="e">
        <f t="shared" si="43"/>
        <v>#N/A</v>
      </c>
      <c r="P191">
        <f t="shared" si="36"/>
        <v>1</v>
      </c>
      <c r="Q191" t="str">
        <f t="shared" ca="1" si="37"/>
        <v/>
      </c>
      <c r="R191" t="str">
        <f t="shared" ca="1" si="38"/>
        <v/>
      </c>
      <c r="T191">
        <f t="shared" si="39"/>
        <v>0</v>
      </c>
      <c r="V191">
        <v>1</v>
      </c>
      <c r="W191" t="str">
        <f t="shared" si="29"/>
        <v/>
      </c>
    </row>
    <row r="192" spans="1:23" outlineLevel="2" x14ac:dyDescent="0.3">
      <c r="A192">
        <v>19.91</v>
      </c>
      <c r="I192">
        <f t="shared" si="32"/>
        <v>19.91</v>
      </c>
      <c r="J192" t="str">
        <f t="shared" si="33"/>
        <v/>
      </c>
      <c r="K192" t="e">
        <f t="shared" si="42"/>
        <v>#N/A</v>
      </c>
      <c r="L192" t="str">
        <f t="shared" si="34"/>
        <v/>
      </c>
      <c r="M192" t="str">
        <f t="shared" si="35"/>
        <v/>
      </c>
      <c r="N192" t="e">
        <f t="shared" si="43"/>
        <v>#N/A</v>
      </c>
      <c r="P192">
        <f t="shared" si="36"/>
        <v>1</v>
      </c>
      <c r="Q192" t="str">
        <f t="shared" ca="1" si="37"/>
        <v/>
      </c>
      <c r="R192" t="str">
        <f t="shared" ca="1" si="38"/>
        <v/>
      </c>
      <c r="T192">
        <f t="shared" si="39"/>
        <v>0</v>
      </c>
      <c r="V192">
        <v>1</v>
      </c>
      <c r="W192" t="str">
        <f t="shared" si="29"/>
        <v/>
      </c>
    </row>
    <row r="193" spans="1:23" outlineLevel="2" x14ac:dyDescent="0.3">
      <c r="A193">
        <v>24.09</v>
      </c>
      <c r="I193">
        <f t="shared" si="32"/>
        <v>24.09</v>
      </c>
      <c r="J193" t="str">
        <f t="shared" si="33"/>
        <v/>
      </c>
      <c r="K193" t="e">
        <f t="shared" si="42"/>
        <v>#N/A</v>
      </c>
      <c r="L193" t="str">
        <f t="shared" si="34"/>
        <v/>
      </c>
      <c r="M193" t="str">
        <f t="shared" si="35"/>
        <v/>
      </c>
      <c r="N193" t="e">
        <f t="shared" si="43"/>
        <v>#N/A</v>
      </c>
      <c r="P193">
        <f t="shared" si="36"/>
        <v>1</v>
      </c>
      <c r="Q193" t="str">
        <f t="shared" ca="1" si="37"/>
        <v/>
      </c>
      <c r="R193" t="str">
        <f t="shared" ca="1" si="38"/>
        <v/>
      </c>
      <c r="T193">
        <f t="shared" si="39"/>
        <v>0</v>
      </c>
      <c r="V193">
        <v>1</v>
      </c>
      <c r="W193" t="str">
        <f t="shared" si="29"/>
        <v/>
      </c>
    </row>
    <row r="194" spans="1:23" outlineLevel="2" x14ac:dyDescent="0.3">
      <c r="A194">
        <v>26.73</v>
      </c>
      <c r="I194">
        <f t="shared" si="32"/>
        <v>26.73</v>
      </c>
      <c r="J194" t="str">
        <f t="shared" si="33"/>
        <v/>
      </c>
      <c r="K194" t="e">
        <f t="shared" si="42"/>
        <v>#N/A</v>
      </c>
      <c r="L194" t="str">
        <f t="shared" si="34"/>
        <v/>
      </c>
      <c r="M194" t="str">
        <f t="shared" si="35"/>
        <v/>
      </c>
      <c r="N194" t="e">
        <f t="shared" si="43"/>
        <v>#N/A</v>
      </c>
      <c r="P194">
        <f t="shared" si="36"/>
        <v>1</v>
      </c>
      <c r="Q194" t="str">
        <f t="shared" ca="1" si="37"/>
        <v/>
      </c>
      <c r="R194" t="str">
        <f t="shared" ca="1" si="38"/>
        <v/>
      </c>
      <c r="T194">
        <f t="shared" si="39"/>
        <v>0</v>
      </c>
      <c r="V194">
        <v>1</v>
      </c>
      <c r="W194" t="str">
        <f t="shared" si="29"/>
        <v/>
      </c>
    </row>
    <row r="195" spans="1:23" outlineLevel="2" x14ac:dyDescent="0.3">
      <c r="A195">
        <v>26.86</v>
      </c>
      <c r="I195">
        <f t="shared" si="32"/>
        <v>26.86</v>
      </c>
      <c r="J195" t="str">
        <f t="shared" si="33"/>
        <v/>
      </c>
      <c r="K195" t="e">
        <f t="shared" si="42"/>
        <v>#N/A</v>
      </c>
      <c r="L195" t="str">
        <f t="shared" si="34"/>
        <v/>
      </c>
      <c r="M195" t="str">
        <f t="shared" si="35"/>
        <v/>
      </c>
      <c r="N195" t="e">
        <f t="shared" si="43"/>
        <v>#N/A</v>
      </c>
      <c r="P195">
        <f t="shared" si="36"/>
        <v>1</v>
      </c>
      <c r="Q195" t="str">
        <f t="shared" ca="1" si="37"/>
        <v/>
      </c>
      <c r="R195" t="str">
        <f t="shared" ca="1" si="38"/>
        <v/>
      </c>
      <c r="T195">
        <f t="shared" si="39"/>
        <v>0</v>
      </c>
      <c r="V195">
        <v>1</v>
      </c>
      <c r="W195" t="str">
        <f t="shared" ref="W195:W258" si="44">IF(AND(V195&gt;2,V195&lt;20),V195,"")</f>
        <v/>
      </c>
    </row>
    <row r="196" spans="1:23" outlineLevel="2" x14ac:dyDescent="0.3">
      <c r="A196">
        <v>26.19</v>
      </c>
      <c r="I196">
        <f t="shared" si="32"/>
        <v>26.19</v>
      </c>
      <c r="J196" t="str">
        <f t="shared" si="33"/>
        <v/>
      </c>
      <c r="K196" t="e">
        <f t="shared" si="42"/>
        <v>#N/A</v>
      </c>
      <c r="L196" t="str">
        <f t="shared" si="34"/>
        <v/>
      </c>
      <c r="M196" t="str">
        <f t="shared" si="35"/>
        <v/>
      </c>
      <c r="N196" t="e">
        <f t="shared" si="43"/>
        <v>#N/A</v>
      </c>
      <c r="P196">
        <f t="shared" si="36"/>
        <v>1</v>
      </c>
      <c r="Q196" t="str">
        <f t="shared" ca="1" si="37"/>
        <v/>
      </c>
      <c r="R196" t="str">
        <f t="shared" ca="1" si="38"/>
        <v/>
      </c>
      <c r="T196">
        <f t="shared" si="39"/>
        <v>0</v>
      </c>
      <c r="V196">
        <v>1</v>
      </c>
      <c r="W196" t="str">
        <f t="shared" si="44"/>
        <v/>
      </c>
    </row>
    <row r="197" spans="1:23" outlineLevel="2" x14ac:dyDescent="0.3">
      <c r="A197">
        <v>25.3</v>
      </c>
      <c r="I197">
        <f t="shared" si="32"/>
        <v>25.3</v>
      </c>
      <c r="J197" t="str">
        <f t="shared" si="33"/>
        <v/>
      </c>
      <c r="K197" t="e">
        <f t="shared" si="42"/>
        <v>#N/A</v>
      </c>
      <c r="L197" t="str">
        <f t="shared" si="34"/>
        <v/>
      </c>
      <c r="M197" t="str">
        <f t="shared" si="35"/>
        <v/>
      </c>
      <c r="N197" t="e">
        <f t="shared" si="43"/>
        <v>#N/A</v>
      </c>
      <c r="P197">
        <f t="shared" si="36"/>
        <v>1</v>
      </c>
      <c r="Q197" t="str">
        <f t="shared" ca="1" si="37"/>
        <v/>
      </c>
      <c r="R197" t="str">
        <f t="shared" ca="1" si="38"/>
        <v/>
      </c>
      <c r="T197">
        <f t="shared" si="39"/>
        <v>0</v>
      </c>
      <c r="V197">
        <v>1</v>
      </c>
      <c r="W197" t="str">
        <f t="shared" si="44"/>
        <v/>
      </c>
    </row>
    <row r="198" spans="1:23" outlineLevel="2" x14ac:dyDescent="0.3">
      <c r="A198">
        <v>23</v>
      </c>
      <c r="I198">
        <f t="shared" si="32"/>
        <v>23</v>
      </c>
      <c r="J198" t="str">
        <f t="shared" si="33"/>
        <v/>
      </c>
      <c r="K198" t="e">
        <f t="shared" si="42"/>
        <v>#N/A</v>
      </c>
      <c r="L198" t="str">
        <f t="shared" si="34"/>
        <v/>
      </c>
      <c r="M198" t="str">
        <f t="shared" si="35"/>
        <v/>
      </c>
      <c r="N198" t="e">
        <f t="shared" si="43"/>
        <v>#N/A</v>
      </c>
      <c r="P198">
        <f t="shared" si="36"/>
        <v>1</v>
      </c>
      <c r="Q198" t="str">
        <f t="shared" ca="1" si="37"/>
        <v/>
      </c>
      <c r="R198" t="str">
        <f t="shared" ca="1" si="38"/>
        <v/>
      </c>
      <c r="T198">
        <f t="shared" si="39"/>
        <v>0</v>
      </c>
      <c r="V198">
        <v>1</v>
      </c>
      <c r="W198" t="str">
        <f t="shared" si="44"/>
        <v/>
      </c>
    </row>
    <row r="199" spans="1:23" outlineLevel="2" x14ac:dyDescent="0.3">
      <c r="A199">
        <v>19.04</v>
      </c>
      <c r="I199">
        <f t="shared" si="32"/>
        <v>19.04</v>
      </c>
      <c r="J199" t="str">
        <f t="shared" si="33"/>
        <v/>
      </c>
      <c r="K199" t="e">
        <f t="shared" si="42"/>
        <v>#N/A</v>
      </c>
      <c r="L199" t="str">
        <f t="shared" si="34"/>
        <v/>
      </c>
      <c r="M199" t="str">
        <f t="shared" si="35"/>
        <v/>
      </c>
      <c r="N199" t="e">
        <f t="shared" si="43"/>
        <v>#N/A</v>
      </c>
      <c r="P199">
        <f t="shared" si="36"/>
        <v>1</v>
      </c>
      <c r="Q199" t="str">
        <f t="shared" ca="1" si="37"/>
        <v/>
      </c>
      <c r="R199" t="str">
        <f t="shared" ca="1" si="38"/>
        <v/>
      </c>
      <c r="T199">
        <f t="shared" si="39"/>
        <v>0</v>
      </c>
      <c r="V199">
        <v>1</v>
      </c>
      <c r="W199" t="str">
        <f t="shared" si="44"/>
        <v/>
      </c>
    </row>
    <row r="200" spans="1:23" outlineLevel="2" x14ac:dyDescent="0.3">
      <c r="A200">
        <v>17.07</v>
      </c>
      <c r="I200">
        <f t="shared" si="32"/>
        <v>17.07</v>
      </c>
      <c r="J200" t="str">
        <f t="shared" si="33"/>
        <v/>
      </c>
      <c r="K200" t="e">
        <f t="shared" si="42"/>
        <v>#N/A</v>
      </c>
      <c r="L200" t="str">
        <f t="shared" si="34"/>
        <v/>
      </c>
      <c r="M200" t="str">
        <f t="shared" si="35"/>
        <v/>
      </c>
      <c r="N200" t="e">
        <f t="shared" si="43"/>
        <v>#N/A</v>
      </c>
      <c r="P200">
        <f t="shared" si="36"/>
        <v>1</v>
      </c>
      <c r="Q200" t="str">
        <f t="shared" ca="1" si="37"/>
        <v/>
      </c>
      <c r="R200" t="str">
        <f t="shared" ca="1" si="38"/>
        <v/>
      </c>
      <c r="T200">
        <f t="shared" si="39"/>
        <v>0</v>
      </c>
      <c r="V200">
        <v>1</v>
      </c>
      <c r="W200" t="str">
        <f t="shared" si="44"/>
        <v/>
      </c>
    </row>
    <row r="201" spans="1:23" outlineLevel="2" x14ac:dyDescent="0.3">
      <c r="A201">
        <v>19.16</v>
      </c>
      <c r="I201">
        <f t="shared" ref="I201:I266" si="45">IF(A201&gt;0,A201,"")</f>
        <v>19.16</v>
      </c>
      <c r="J201" t="str">
        <f t="shared" ref="J201:J265" si="46">IF(AND(I202&gt;I201,I202&gt;I203,I202&gt;$D$5),I202,"")</f>
        <v/>
      </c>
      <c r="K201" t="e">
        <f t="shared" si="42"/>
        <v>#N/A</v>
      </c>
      <c r="L201" t="str">
        <f t="shared" ref="L201:L266" si="47">IF(A201&lt;0,A201,"")</f>
        <v/>
      </c>
      <c r="M201" t="str">
        <f t="shared" ref="M201:M265" si="48">IF(AND(L202&lt;L201,L202&lt;L203,L202&lt;$G$5),L202,"")</f>
        <v/>
      </c>
      <c r="N201" t="e">
        <f t="shared" si="43"/>
        <v>#N/A</v>
      </c>
      <c r="P201">
        <f t="shared" ref="P201:P266" si="49">IF(A201&gt;0,1,2)</f>
        <v>1</v>
      </c>
      <c r="Q201" t="str">
        <f t="shared" ref="Q201:Q266" ca="1" si="50">IF(AND(A202&gt;=0,A201&lt;0),CELL("ROW",A202),IF(AND(A202&lt;0,A201&gt;=0),CELL("ROW",A202),""))</f>
        <v/>
      </c>
      <c r="R201" t="str">
        <f t="shared" ref="R201:R266" ca="1" si="51">IF(ISNUMBER(K201),IF(INT(K201)=K201,K201,""),"")&amp;IF(ISNUMBER(N201),IF(INT(N201)=N201,N201,""),"")&amp;IF(ISNUMBER(Q201),IF(INT(Q201)=Q201,Q201,""),"")</f>
        <v/>
      </c>
      <c r="T201">
        <f t="shared" ref="T201:T266" si="52">S202-S201</f>
        <v>0</v>
      </c>
      <c r="V201">
        <v>1</v>
      </c>
      <c r="W201" t="str">
        <f t="shared" si="44"/>
        <v/>
      </c>
    </row>
    <row r="202" spans="1:23" outlineLevel="2" x14ac:dyDescent="0.3">
      <c r="A202">
        <v>21.31</v>
      </c>
      <c r="I202">
        <f t="shared" si="45"/>
        <v>21.31</v>
      </c>
      <c r="J202" t="str">
        <f t="shared" si="46"/>
        <v/>
      </c>
      <c r="K202" t="e">
        <f t="shared" si="42"/>
        <v>#N/A</v>
      </c>
      <c r="L202" t="str">
        <f t="shared" si="47"/>
        <v/>
      </c>
      <c r="M202" t="str">
        <f t="shared" si="48"/>
        <v/>
      </c>
      <c r="N202" t="e">
        <f t="shared" si="43"/>
        <v>#N/A</v>
      </c>
      <c r="P202">
        <f t="shared" si="49"/>
        <v>1</v>
      </c>
      <c r="Q202" t="str">
        <f t="shared" ca="1" si="50"/>
        <v/>
      </c>
      <c r="R202" t="str">
        <f t="shared" ca="1" si="51"/>
        <v/>
      </c>
      <c r="T202">
        <f t="shared" si="52"/>
        <v>0</v>
      </c>
      <c r="V202">
        <v>1</v>
      </c>
      <c r="W202" t="str">
        <f t="shared" si="44"/>
        <v/>
      </c>
    </row>
    <row r="203" spans="1:23" outlineLevel="2" x14ac:dyDescent="0.3">
      <c r="A203">
        <v>20.99</v>
      </c>
      <c r="I203">
        <f t="shared" si="45"/>
        <v>20.99</v>
      </c>
      <c r="J203" t="str">
        <f t="shared" si="46"/>
        <v/>
      </c>
      <c r="K203" t="e">
        <f t="shared" si="42"/>
        <v>#N/A</v>
      </c>
      <c r="L203" t="str">
        <f t="shared" si="47"/>
        <v/>
      </c>
      <c r="M203" t="str">
        <f t="shared" si="48"/>
        <v/>
      </c>
      <c r="N203" t="e">
        <f t="shared" si="43"/>
        <v>#N/A</v>
      </c>
      <c r="P203">
        <f t="shared" si="49"/>
        <v>1</v>
      </c>
      <c r="Q203" t="str">
        <f t="shared" ca="1" si="50"/>
        <v/>
      </c>
      <c r="R203" t="str">
        <f t="shared" ca="1" si="51"/>
        <v/>
      </c>
      <c r="T203">
        <f t="shared" si="52"/>
        <v>0</v>
      </c>
      <c r="V203">
        <v>1</v>
      </c>
      <c r="W203" t="str">
        <f t="shared" si="44"/>
        <v/>
      </c>
    </row>
    <row r="204" spans="1:23" outlineLevel="2" x14ac:dyDescent="0.3">
      <c r="A204">
        <v>19.88</v>
      </c>
      <c r="I204">
        <f t="shared" si="45"/>
        <v>19.88</v>
      </c>
      <c r="J204" t="str">
        <f t="shared" si="46"/>
        <v/>
      </c>
      <c r="K204" t="e">
        <f t="shared" si="42"/>
        <v>#N/A</v>
      </c>
      <c r="L204" t="str">
        <f t="shared" si="47"/>
        <v/>
      </c>
      <c r="M204" t="str">
        <f t="shared" si="48"/>
        <v/>
      </c>
      <c r="N204" t="e">
        <f t="shared" si="43"/>
        <v>#N/A</v>
      </c>
      <c r="P204">
        <f t="shared" si="49"/>
        <v>1</v>
      </c>
      <c r="Q204" t="str">
        <f t="shared" ca="1" si="50"/>
        <v/>
      </c>
      <c r="R204" t="str">
        <f t="shared" ca="1" si="51"/>
        <v/>
      </c>
      <c r="T204">
        <f t="shared" si="52"/>
        <v>0</v>
      </c>
      <c r="V204">
        <v>1</v>
      </c>
      <c r="W204" t="str">
        <f t="shared" si="44"/>
        <v/>
      </c>
    </row>
    <row r="205" spans="1:23" outlineLevel="2" x14ac:dyDescent="0.3">
      <c r="A205">
        <v>19.87</v>
      </c>
      <c r="I205">
        <f t="shared" si="45"/>
        <v>19.87</v>
      </c>
      <c r="J205" t="str">
        <f t="shared" si="46"/>
        <v/>
      </c>
      <c r="K205" t="e">
        <f t="shared" si="42"/>
        <v>#N/A</v>
      </c>
      <c r="L205" t="str">
        <f t="shared" si="47"/>
        <v/>
      </c>
      <c r="M205" t="str">
        <f t="shared" si="48"/>
        <v/>
      </c>
      <c r="N205" t="e">
        <f t="shared" si="43"/>
        <v>#N/A</v>
      </c>
      <c r="P205">
        <f t="shared" si="49"/>
        <v>1</v>
      </c>
      <c r="Q205" t="str">
        <f t="shared" ca="1" si="50"/>
        <v/>
      </c>
      <c r="R205" t="str">
        <f t="shared" ca="1" si="51"/>
        <v/>
      </c>
      <c r="T205">
        <f t="shared" si="52"/>
        <v>0</v>
      </c>
      <c r="V205">
        <v>1</v>
      </c>
      <c r="W205" t="str">
        <f t="shared" si="44"/>
        <v/>
      </c>
    </row>
    <row r="206" spans="1:23" outlineLevel="2" x14ac:dyDescent="0.3">
      <c r="A206">
        <v>20.36</v>
      </c>
      <c r="I206">
        <f t="shared" si="45"/>
        <v>20.36</v>
      </c>
      <c r="J206" t="str">
        <f t="shared" si="46"/>
        <v/>
      </c>
      <c r="K206" t="e">
        <f t="shared" si="42"/>
        <v>#N/A</v>
      </c>
      <c r="L206" t="str">
        <f t="shared" si="47"/>
        <v/>
      </c>
      <c r="M206" t="str">
        <f t="shared" si="48"/>
        <v/>
      </c>
      <c r="N206" t="e">
        <f t="shared" si="43"/>
        <v>#N/A</v>
      </c>
      <c r="P206">
        <f t="shared" si="49"/>
        <v>1</v>
      </c>
      <c r="Q206" t="str">
        <f t="shared" ca="1" si="50"/>
        <v/>
      </c>
      <c r="R206" t="str">
        <f t="shared" ca="1" si="51"/>
        <v/>
      </c>
      <c r="T206">
        <f t="shared" si="52"/>
        <v>0</v>
      </c>
      <c r="V206">
        <v>1</v>
      </c>
      <c r="W206" t="str">
        <f t="shared" si="44"/>
        <v/>
      </c>
    </row>
    <row r="207" spans="1:23" outlineLevel="2" x14ac:dyDescent="0.3">
      <c r="A207">
        <v>19.55</v>
      </c>
      <c r="I207">
        <f t="shared" si="45"/>
        <v>19.55</v>
      </c>
      <c r="J207" t="str">
        <f t="shared" si="46"/>
        <v/>
      </c>
      <c r="K207" t="e">
        <f t="shared" si="42"/>
        <v>#N/A</v>
      </c>
      <c r="L207" t="str">
        <f t="shared" si="47"/>
        <v/>
      </c>
      <c r="M207" t="str">
        <f t="shared" si="48"/>
        <v/>
      </c>
      <c r="N207" t="e">
        <f t="shared" si="43"/>
        <v>#N/A</v>
      </c>
      <c r="P207">
        <f t="shared" si="49"/>
        <v>1</v>
      </c>
      <c r="Q207" t="str">
        <f t="shared" ca="1" si="50"/>
        <v/>
      </c>
      <c r="R207" t="str">
        <f t="shared" ca="1" si="51"/>
        <v/>
      </c>
      <c r="T207">
        <f t="shared" si="52"/>
        <v>0</v>
      </c>
      <c r="V207">
        <v>1</v>
      </c>
      <c r="W207" t="str">
        <f t="shared" si="44"/>
        <v/>
      </c>
    </row>
    <row r="208" spans="1:23" outlineLevel="2" x14ac:dyDescent="0.3">
      <c r="A208">
        <v>18.57</v>
      </c>
      <c r="I208">
        <f t="shared" si="45"/>
        <v>18.57</v>
      </c>
      <c r="J208" t="str">
        <f t="shared" si="46"/>
        <v/>
      </c>
      <c r="K208" t="e">
        <f t="shared" si="42"/>
        <v>#N/A</v>
      </c>
      <c r="L208" t="str">
        <f t="shared" si="47"/>
        <v/>
      </c>
      <c r="M208" t="str">
        <f t="shared" si="48"/>
        <v/>
      </c>
      <c r="N208" t="e">
        <f t="shared" si="43"/>
        <v>#N/A</v>
      </c>
      <c r="P208">
        <f t="shared" si="49"/>
        <v>1</v>
      </c>
      <c r="Q208" t="str">
        <f t="shared" ca="1" si="50"/>
        <v/>
      </c>
      <c r="R208" t="str">
        <f t="shared" ca="1" si="51"/>
        <v/>
      </c>
      <c r="T208">
        <f t="shared" si="52"/>
        <v>0</v>
      </c>
      <c r="V208">
        <v>1</v>
      </c>
      <c r="W208" t="str">
        <f t="shared" si="44"/>
        <v/>
      </c>
    </row>
    <row r="209" spans="1:23" outlineLevel="2" x14ac:dyDescent="0.3">
      <c r="A209">
        <v>20.059999999999999</v>
      </c>
      <c r="I209">
        <f t="shared" si="45"/>
        <v>20.059999999999999</v>
      </c>
      <c r="J209" t="str">
        <f t="shared" si="46"/>
        <v/>
      </c>
      <c r="K209" t="e">
        <f t="shared" si="42"/>
        <v>#N/A</v>
      </c>
      <c r="L209" t="str">
        <f t="shared" si="47"/>
        <v/>
      </c>
      <c r="M209" t="str">
        <f t="shared" si="48"/>
        <v/>
      </c>
      <c r="N209" t="e">
        <f t="shared" si="43"/>
        <v>#N/A</v>
      </c>
      <c r="P209">
        <f t="shared" si="49"/>
        <v>1</v>
      </c>
      <c r="Q209" t="str">
        <f t="shared" ca="1" si="50"/>
        <v/>
      </c>
      <c r="R209" t="str">
        <f t="shared" ca="1" si="51"/>
        <v/>
      </c>
      <c r="T209">
        <f t="shared" si="52"/>
        <v>0</v>
      </c>
      <c r="V209">
        <v>1</v>
      </c>
      <c r="W209" t="str">
        <f t="shared" si="44"/>
        <v/>
      </c>
    </row>
    <row r="210" spans="1:23" outlineLevel="2" x14ac:dyDescent="0.3">
      <c r="A210">
        <v>22.12</v>
      </c>
      <c r="I210">
        <f t="shared" si="45"/>
        <v>22.12</v>
      </c>
      <c r="J210" t="str">
        <f t="shared" si="46"/>
        <v/>
      </c>
      <c r="K210" t="e">
        <f t="shared" si="42"/>
        <v>#N/A</v>
      </c>
      <c r="L210" t="str">
        <f t="shared" si="47"/>
        <v/>
      </c>
      <c r="M210" t="str">
        <f t="shared" si="48"/>
        <v/>
      </c>
      <c r="N210" t="e">
        <f t="shared" si="43"/>
        <v>#N/A</v>
      </c>
      <c r="P210">
        <f t="shared" si="49"/>
        <v>1</v>
      </c>
      <c r="Q210" t="str">
        <f t="shared" ca="1" si="50"/>
        <v/>
      </c>
      <c r="R210" t="str">
        <f t="shared" ca="1" si="51"/>
        <v/>
      </c>
      <c r="T210">
        <f t="shared" si="52"/>
        <v>0</v>
      </c>
      <c r="V210">
        <v>1</v>
      </c>
      <c r="W210" t="str">
        <f t="shared" si="44"/>
        <v/>
      </c>
    </row>
    <row r="211" spans="1:23" outlineLevel="2" x14ac:dyDescent="0.3">
      <c r="A211">
        <v>21.49</v>
      </c>
      <c r="I211">
        <f t="shared" si="45"/>
        <v>21.49</v>
      </c>
      <c r="J211" t="str">
        <f t="shared" si="46"/>
        <v/>
      </c>
      <c r="K211" t="e">
        <f t="shared" si="42"/>
        <v>#N/A</v>
      </c>
      <c r="L211" t="str">
        <f t="shared" si="47"/>
        <v/>
      </c>
      <c r="M211" t="str">
        <f t="shared" si="48"/>
        <v/>
      </c>
      <c r="N211" t="e">
        <f t="shared" si="43"/>
        <v>#N/A</v>
      </c>
      <c r="P211">
        <f t="shared" si="49"/>
        <v>1</v>
      </c>
      <c r="Q211" t="str">
        <f t="shared" ca="1" si="50"/>
        <v/>
      </c>
      <c r="R211" t="str">
        <f t="shared" ca="1" si="51"/>
        <v/>
      </c>
      <c r="T211">
        <f t="shared" si="52"/>
        <v>0</v>
      </c>
      <c r="V211">
        <v>1</v>
      </c>
      <c r="W211" t="str">
        <f t="shared" si="44"/>
        <v/>
      </c>
    </row>
    <row r="212" spans="1:23" outlineLevel="2" x14ac:dyDescent="0.3">
      <c r="A212">
        <v>19.739999999999998</v>
      </c>
      <c r="I212">
        <f t="shared" si="45"/>
        <v>19.739999999999998</v>
      </c>
      <c r="J212" t="str">
        <f t="shared" si="46"/>
        <v/>
      </c>
      <c r="K212" t="e">
        <f t="shared" si="42"/>
        <v>#N/A</v>
      </c>
      <c r="L212" t="str">
        <f t="shared" si="47"/>
        <v/>
      </c>
      <c r="M212" t="str">
        <f t="shared" si="48"/>
        <v/>
      </c>
      <c r="N212" t="e">
        <f t="shared" si="43"/>
        <v>#N/A</v>
      </c>
      <c r="P212">
        <f t="shared" si="49"/>
        <v>1</v>
      </c>
      <c r="Q212" t="str">
        <f t="shared" ca="1" si="50"/>
        <v/>
      </c>
      <c r="R212" t="str">
        <f t="shared" ca="1" si="51"/>
        <v/>
      </c>
      <c r="T212">
        <f t="shared" si="52"/>
        <v>0</v>
      </c>
      <c r="V212">
        <v>1</v>
      </c>
      <c r="W212" t="str">
        <f t="shared" si="44"/>
        <v/>
      </c>
    </row>
    <row r="213" spans="1:23" outlineLevel="2" x14ac:dyDescent="0.3">
      <c r="A213">
        <v>19.77</v>
      </c>
      <c r="I213">
        <f t="shared" si="45"/>
        <v>19.77</v>
      </c>
      <c r="J213" t="str">
        <f t="shared" si="46"/>
        <v/>
      </c>
      <c r="K213" t="e">
        <f t="shared" si="42"/>
        <v>#N/A</v>
      </c>
      <c r="L213" t="str">
        <f t="shared" si="47"/>
        <v/>
      </c>
      <c r="M213" t="str">
        <f t="shared" si="48"/>
        <v/>
      </c>
      <c r="N213" t="e">
        <f t="shared" si="43"/>
        <v>#N/A</v>
      </c>
      <c r="P213">
        <f t="shared" si="49"/>
        <v>1</v>
      </c>
      <c r="Q213" t="str">
        <f t="shared" ca="1" si="50"/>
        <v/>
      </c>
      <c r="R213" t="str">
        <f t="shared" ca="1" si="51"/>
        <v/>
      </c>
      <c r="T213">
        <f t="shared" si="52"/>
        <v>0</v>
      </c>
      <c r="V213">
        <v>1</v>
      </c>
      <c r="W213" t="str">
        <f t="shared" si="44"/>
        <v/>
      </c>
    </row>
    <row r="214" spans="1:23" outlineLevel="2" x14ac:dyDescent="0.3">
      <c r="A214">
        <v>20.23</v>
      </c>
      <c r="I214">
        <f t="shared" si="45"/>
        <v>20.23</v>
      </c>
      <c r="J214" t="str">
        <f t="shared" si="46"/>
        <v/>
      </c>
      <c r="K214" t="e">
        <f t="shared" si="42"/>
        <v>#N/A</v>
      </c>
      <c r="L214" t="str">
        <f t="shared" si="47"/>
        <v/>
      </c>
      <c r="M214" t="str">
        <f t="shared" si="48"/>
        <v/>
      </c>
      <c r="N214" t="e">
        <f t="shared" si="43"/>
        <v>#N/A</v>
      </c>
      <c r="P214">
        <f t="shared" si="49"/>
        <v>1</v>
      </c>
      <c r="Q214" t="str">
        <f t="shared" ca="1" si="50"/>
        <v/>
      </c>
      <c r="R214" t="str">
        <f t="shared" ca="1" si="51"/>
        <v/>
      </c>
      <c r="T214">
        <f t="shared" si="52"/>
        <v>0</v>
      </c>
      <c r="V214">
        <v>1</v>
      </c>
      <c r="W214" t="str">
        <f t="shared" si="44"/>
        <v/>
      </c>
    </row>
    <row r="215" spans="1:23" outlineLevel="2" x14ac:dyDescent="0.3">
      <c r="A215">
        <v>19.670000000000002</v>
      </c>
      <c r="I215">
        <f t="shared" si="45"/>
        <v>19.670000000000002</v>
      </c>
      <c r="J215" t="str">
        <f t="shared" si="46"/>
        <v/>
      </c>
      <c r="K215" t="e">
        <f t="shared" si="42"/>
        <v>#N/A</v>
      </c>
      <c r="L215" t="str">
        <f t="shared" si="47"/>
        <v/>
      </c>
      <c r="M215" t="str">
        <f t="shared" si="48"/>
        <v/>
      </c>
      <c r="N215" t="e">
        <f t="shared" si="43"/>
        <v>#N/A</v>
      </c>
      <c r="P215">
        <f t="shared" si="49"/>
        <v>1</v>
      </c>
      <c r="Q215" t="str">
        <f t="shared" ca="1" si="50"/>
        <v/>
      </c>
      <c r="R215" t="str">
        <f t="shared" ca="1" si="51"/>
        <v/>
      </c>
      <c r="T215">
        <f t="shared" si="52"/>
        <v>0</v>
      </c>
      <c r="V215">
        <v>1</v>
      </c>
      <c r="W215" t="str">
        <f t="shared" si="44"/>
        <v/>
      </c>
    </row>
    <row r="216" spans="1:23" outlineLevel="2" x14ac:dyDescent="0.3">
      <c r="A216">
        <v>19.18</v>
      </c>
      <c r="I216">
        <f t="shared" si="45"/>
        <v>19.18</v>
      </c>
      <c r="J216" t="str">
        <f t="shared" si="46"/>
        <v/>
      </c>
      <c r="K216" t="e">
        <f t="shared" si="42"/>
        <v>#N/A</v>
      </c>
      <c r="L216" t="str">
        <f t="shared" si="47"/>
        <v/>
      </c>
      <c r="M216" t="str">
        <f t="shared" si="48"/>
        <v/>
      </c>
      <c r="N216" t="e">
        <f t="shared" si="43"/>
        <v>#N/A</v>
      </c>
      <c r="P216">
        <f t="shared" si="49"/>
        <v>1</v>
      </c>
      <c r="Q216" t="str">
        <f t="shared" ca="1" si="50"/>
        <v/>
      </c>
      <c r="R216" t="str">
        <f t="shared" ca="1" si="51"/>
        <v/>
      </c>
      <c r="T216">
        <f t="shared" si="52"/>
        <v>0</v>
      </c>
      <c r="V216">
        <v>1</v>
      </c>
      <c r="W216" t="str">
        <f t="shared" si="44"/>
        <v/>
      </c>
    </row>
    <row r="217" spans="1:23" outlineLevel="2" x14ac:dyDescent="0.3">
      <c r="A217">
        <v>19.62</v>
      </c>
      <c r="I217">
        <f t="shared" si="45"/>
        <v>19.62</v>
      </c>
      <c r="J217" t="str">
        <f t="shared" si="46"/>
        <v/>
      </c>
      <c r="K217" t="e">
        <f t="shared" si="42"/>
        <v>#N/A</v>
      </c>
      <c r="L217" t="str">
        <f t="shared" si="47"/>
        <v/>
      </c>
      <c r="M217" t="str">
        <f t="shared" si="48"/>
        <v/>
      </c>
      <c r="N217" t="e">
        <f t="shared" si="43"/>
        <v>#N/A</v>
      </c>
      <c r="P217">
        <f t="shared" si="49"/>
        <v>1</v>
      </c>
      <c r="Q217" t="str">
        <f t="shared" ca="1" si="50"/>
        <v/>
      </c>
      <c r="R217" t="str">
        <f t="shared" ca="1" si="51"/>
        <v/>
      </c>
      <c r="T217">
        <f t="shared" si="52"/>
        <v>0</v>
      </c>
      <c r="V217">
        <v>1</v>
      </c>
      <c r="W217" t="str">
        <f t="shared" si="44"/>
        <v/>
      </c>
    </row>
    <row r="218" spans="1:23" outlineLevel="2" x14ac:dyDescent="0.3">
      <c r="A218">
        <v>21.38</v>
      </c>
      <c r="I218">
        <f t="shared" si="45"/>
        <v>21.38</v>
      </c>
      <c r="J218" t="str">
        <f t="shared" si="46"/>
        <v/>
      </c>
      <c r="K218" t="e">
        <f t="shared" si="42"/>
        <v>#N/A</v>
      </c>
      <c r="L218" t="str">
        <f t="shared" si="47"/>
        <v/>
      </c>
      <c r="M218" t="str">
        <f t="shared" si="48"/>
        <v/>
      </c>
      <c r="N218" t="e">
        <f t="shared" si="43"/>
        <v>#N/A</v>
      </c>
      <c r="P218">
        <f t="shared" si="49"/>
        <v>1</v>
      </c>
      <c r="Q218" t="str">
        <f t="shared" ca="1" si="50"/>
        <v/>
      </c>
      <c r="R218" t="str">
        <f t="shared" ca="1" si="51"/>
        <v/>
      </c>
      <c r="T218">
        <f t="shared" si="52"/>
        <v>0</v>
      </c>
      <c r="V218">
        <v>1</v>
      </c>
      <c r="W218" t="str">
        <f t="shared" si="44"/>
        <v/>
      </c>
    </row>
    <row r="219" spans="1:23" outlineLevel="2" x14ac:dyDescent="0.3">
      <c r="A219">
        <v>23.99</v>
      </c>
      <c r="I219">
        <f t="shared" si="45"/>
        <v>23.99</v>
      </c>
      <c r="J219" t="str">
        <f t="shared" si="46"/>
        <v/>
      </c>
      <c r="K219" t="e">
        <f t="shared" si="42"/>
        <v>#N/A</v>
      </c>
      <c r="L219" t="str">
        <f t="shared" si="47"/>
        <v/>
      </c>
      <c r="M219" t="str">
        <f t="shared" si="48"/>
        <v/>
      </c>
      <c r="N219" t="e">
        <f t="shared" si="43"/>
        <v>#N/A</v>
      </c>
      <c r="P219">
        <f t="shared" si="49"/>
        <v>1</v>
      </c>
      <c r="Q219" t="str">
        <f t="shared" ca="1" si="50"/>
        <v/>
      </c>
      <c r="R219" t="str">
        <f t="shared" ca="1" si="51"/>
        <v/>
      </c>
      <c r="T219">
        <f t="shared" si="52"/>
        <v>0</v>
      </c>
      <c r="V219">
        <v>1</v>
      </c>
      <c r="W219" t="str">
        <f t="shared" si="44"/>
        <v/>
      </c>
    </row>
    <row r="220" spans="1:23" outlineLevel="2" x14ac:dyDescent="0.3">
      <c r="A220">
        <v>26.79</v>
      </c>
      <c r="I220">
        <f t="shared" si="45"/>
        <v>26.79</v>
      </c>
      <c r="J220" t="str">
        <f t="shared" si="46"/>
        <v/>
      </c>
      <c r="K220" t="e">
        <f t="shared" ref="K220:K240" si="53">MATCH(J220,$A$1:$A$10041,0)</f>
        <v>#N/A</v>
      </c>
      <c r="L220" t="str">
        <f t="shared" si="47"/>
        <v/>
      </c>
      <c r="M220" t="str">
        <f t="shared" si="48"/>
        <v/>
      </c>
      <c r="N220" t="e">
        <f t="shared" ref="N220:N240" si="54">MATCH(M220,$A$1:$A$10041,0)</f>
        <v>#N/A</v>
      </c>
      <c r="P220">
        <f t="shared" si="49"/>
        <v>1</v>
      </c>
      <c r="Q220" t="str">
        <f t="shared" ca="1" si="50"/>
        <v/>
      </c>
      <c r="R220" t="str">
        <f t="shared" ca="1" si="51"/>
        <v/>
      </c>
      <c r="T220">
        <f t="shared" si="52"/>
        <v>0</v>
      </c>
      <c r="V220">
        <v>1</v>
      </c>
      <c r="W220" t="str">
        <f t="shared" si="44"/>
        <v/>
      </c>
    </row>
    <row r="221" spans="1:23" outlineLevel="2" x14ac:dyDescent="0.3">
      <c r="A221">
        <v>28.98</v>
      </c>
      <c r="I221">
        <f t="shared" si="45"/>
        <v>28.98</v>
      </c>
      <c r="J221" t="str">
        <f t="shared" si="46"/>
        <v/>
      </c>
      <c r="K221" t="e">
        <f t="shared" si="53"/>
        <v>#N/A</v>
      </c>
      <c r="L221" t="str">
        <f t="shared" si="47"/>
        <v/>
      </c>
      <c r="M221" t="str">
        <f t="shared" si="48"/>
        <v/>
      </c>
      <c r="N221" t="e">
        <f t="shared" si="54"/>
        <v>#N/A</v>
      </c>
      <c r="P221">
        <f t="shared" si="49"/>
        <v>1</v>
      </c>
      <c r="Q221" t="str">
        <f t="shared" ca="1" si="50"/>
        <v/>
      </c>
      <c r="R221" t="str">
        <f t="shared" ca="1" si="51"/>
        <v/>
      </c>
      <c r="T221">
        <f t="shared" si="52"/>
        <v>0</v>
      </c>
      <c r="V221">
        <v>1</v>
      </c>
      <c r="W221" t="str">
        <f t="shared" si="44"/>
        <v/>
      </c>
    </row>
    <row r="222" spans="1:23" outlineLevel="2" x14ac:dyDescent="0.3">
      <c r="A222">
        <v>29.69</v>
      </c>
      <c r="I222">
        <f t="shared" si="45"/>
        <v>29.69</v>
      </c>
      <c r="J222" t="str">
        <f t="shared" si="46"/>
        <v/>
      </c>
      <c r="K222" t="e">
        <f t="shared" si="53"/>
        <v>#N/A</v>
      </c>
      <c r="L222" t="str">
        <f t="shared" si="47"/>
        <v/>
      </c>
      <c r="M222" t="str">
        <f t="shared" si="48"/>
        <v/>
      </c>
      <c r="N222" t="e">
        <f t="shared" si="54"/>
        <v>#N/A</v>
      </c>
      <c r="P222">
        <f t="shared" si="49"/>
        <v>1</v>
      </c>
      <c r="Q222" t="str">
        <f t="shared" ca="1" si="50"/>
        <v/>
      </c>
      <c r="R222" t="str">
        <f t="shared" ca="1" si="51"/>
        <v/>
      </c>
      <c r="T222">
        <f t="shared" si="52"/>
        <v>0</v>
      </c>
      <c r="V222">
        <v>1</v>
      </c>
      <c r="W222" t="str">
        <f t="shared" si="44"/>
        <v/>
      </c>
    </row>
    <row r="223" spans="1:23" outlineLevel="2" x14ac:dyDescent="0.3">
      <c r="A223">
        <v>27.67</v>
      </c>
      <c r="I223">
        <f t="shared" si="45"/>
        <v>27.67</v>
      </c>
      <c r="J223" t="str">
        <f t="shared" si="46"/>
        <v/>
      </c>
      <c r="K223" t="e">
        <f t="shared" si="53"/>
        <v>#N/A</v>
      </c>
      <c r="L223" t="str">
        <f t="shared" si="47"/>
        <v/>
      </c>
      <c r="M223" t="str">
        <f t="shared" si="48"/>
        <v/>
      </c>
      <c r="N223" t="e">
        <f t="shared" si="54"/>
        <v>#N/A</v>
      </c>
      <c r="P223">
        <f t="shared" si="49"/>
        <v>1</v>
      </c>
      <c r="Q223" t="str">
        <f t="shared" ca="1" si="50"/>
        <v/>
      </c>
      <c r="R223" t="str">
        <f t="shared" ca="1" si="51"/>
        <v/>
      </c>
      <c r="T223">
        <f t="shared" si="52"/>
        <v>0</v>
      </c>
      <c r="V223">
        <v>1</v>
      </c>
      <c r="W223" t="str">
        <f t="shared" si="44"/>
        <v/>
      </c>
    </row>
    <row r="224" spans="1:23" outlineLevel="2" x14ac:dyDescent="0.3">
      <c r="A224">
        <v>24.34</v>
      </c>
      <c r="I224">
        <f t="shared" si="45"/>
        <v>24.34</v>
      </c>
      <c r="J224" t="str">
        <f t="shared" si="46"/>
        <v/>
      </c>
      <c r="K224" t="e">
        <f t="shared" si="53"/>
        <v>#N/A</v>
      </c>
      <c r="L224" t="str">
        <f t="shared" si="47"/>
        <v/>
      </c>
      <c r="M224" t="str">
        <f t="shared" si="48"/>
        <v/>
      </c>
      <c r="N224" t="e">
        <f t="shared" si="54"/>
        <v>#N/A</v>
      </c>
      <c r="P224">
        <f t="shared" si="49"/>
        <v>1</v>
      </c>
      <c r="Q224" t="str">
        <f t="shared" ca="1" si="50"/>
        <v/>
      </c>
      <c r="R224" t="str">
        <f t="shared" ca="1" si="51"/>
        <v/>
      </c>
      <c r="T224">
        <f t="shared" si="52"/>
        <v>0</v>
      </c>
      <c r="V224">
        <v>1</v>
      </c>
      <c r="W224" t="str">
        <f t="shared" si="44"/>
        <v/>
      </c>
    </row>
    <row r="225" spans="1:23" outlineLevel="2" x14ac:dyDescent="0.3">
      <c r="A225">
        <v>22.2</v>
      </c>
      <c r="I225">
        <f t="shared" si="45"/>
        <v>22.2</v>
      </c>
      <c r="J225" t="str">
        <f t="shared" si="46"/>
        <v/>
      </c>
      <c r="K225" t="e">
        <f t="shared" si="53"/>
        <v>#N/A</v>
      </c>
      <c r="L225" t="str">
        <f t="shared" si="47"/>
        <v/>
      </c>
      <c r="M225" t="str">
        <f t="shared" si="48"/>
        <v/>
      </c>
      <c r="N225" t="e">
        <f t="shared" si="54"/>
        <v>#N/A</v>
      </c>
      <c r="P225">
        <f t="shared" si="49"/>
        <v>1</v>
      </c>
      <c r="Q225" t="str">
        <f t="shared" ca="1" si="50"/>
        <v/>
      </c>
      <c r="R225" t="str">
        <f t="shared" ca="1" si="51"/>
        <v/>
      </c>
      <c r="T225">
        <f t="shared" si="52"/>
        <v>0</v>
      </c>
      <c r="V225">
        <v>1</v>
      </c>
      <c r="W225" t="str">
        <f t="shared" si="44"/>
        <v/>
      </c>
    </row>
    <row r="226" spans="1:23" outlineLevel="2" x14ac:dyDescent="0.3">
      <c r="A226">
        <v>21.65</v>
      </c>
      <c r="I226">
        <f t="shared" si="45"/>
        <v>21.65</v>
      </c>
      <c r="J226" t="str">
        <f t="shared" si="46"/>
        <v/>
      </c>
      <c r="K226" t="e">
        <f t="shared" si="53"/>
        <v>#N/A</v>
      </c>
      <c r="L226" t="str">
        <f t="shared" si="47"/>
        <v/>
      </c>
      <c r="M226" t="str">
        <f t="shared" si="48"/>
        <v/>
      </c>
      <c r="N226" t="e">
        <f t="shared" si="54"/>
        <v>#N/A</v>
      </c>
      <c r="P226">
        <f t="shared" si="49"/>
        <v>1</v>
      </c>
      <c r="Q226" t="str">
        <f t="shared" ca="1" si="50"/>
        <v/>
      </c>
      <c r="R226" t="str">
        <f t="shared" ca="1" si="51"/>
        <v/>
      </c>
      <c r="T226">
        <f t="shared" si="52"/>
        <v>0</v>
      </c>
      <c r="V226">
        <v>1</v>
      </c>
      <c r="W226" t="str">
        <f t="shared" si="44"/>
        <v/>
      </c>
    </row>
    <row r="227" spans="1:23" outlineLevel="2" x14ac:dyDescent="0.3">
      <c r="A227">
        <v>22.08</v>
      </c>
      <c r="I227">
        <f t="shared" si="45"/>
        <v>22.08</v>
      </c>
      <c r="J227" t="str">
        <f t="shared" si="46"/>
        <v/>
      </c>
      <c r="K227" t="e">
        <f t="shared" si="53"/>
        <v>#N/A</v>
      </c>
      <c r="L227" t="str">
        <f t="shared" si="47"/>
        <v/>
      </c>
      <c r="M227" t="str">
        <f t="shared" si="48"/>
        <v/>
      </c>
      <c r="N227" t="e">
        <f t="shared" si="54"/>
        <v>#N/A</v>
      </c>
      <c r="P227">
        <f t="shared" si="49"/>
        <v>1</v>
      </c>
      <c r="Q227" t="str">
        <f t="shared" ca="1" si="50"/>
        <v/>
      </c>
      <c r="R227" t="str">
        <f t="shared" ca="1" si="51"/>
        <v/>
      </c>
      <c r="T227">
        <f t="shared" si="52"/>
        <v>0</v>
      </c>
      <c r="V227">
        <v>1</v>
      </c>
      <c r="W227" t="str">
        <f t="shared" si="44"/>
        <v/>
      </c>
    </row>
    <row r="228" spans="1:23" outlineLevel="2" x14ac:dyDescent="0.3">
      <c r="A228">
        <v>23.15</v>
      </c>
      <c r="I228">
        <f t="shared" si="45"/>
        <v>23.15</v>
      </c>
      <c r="J228" t="str">
        <f t="shared" si="46"/>
        <v/>
      </c>
      <c r="K228" t="e">
        <f t="shared" si="53"/>
        <v>#N/A</v>
      </c>
      <c r="L228" t="str">
        <f t="shared" si="47"/>
        <v/>
      </c>
      <c r="M228" t="str">
        <f t="shared" si="48"/>
        <v/>
      </c>
      <c r="N228" t="e">
        <f t="shared" si="54"/>
        <v>#N/A</v>
      </c>
      <c r="P228">
        <f t="shared" si="49"/>
        <v>1</v>
      </c>
      <c r="Q228" t="str">
        <f t="shared" ca="1" si="50"/>
        <v/>
      </c>
      <c r="R228" t="str">
        <f t="shared" ca="1" si="51"/>
        <v/>
      </c>
      <c r="T228">
        <f t="shared" si="52"/>
        <v>0</v>
      </c>
      <c r="V228">
        <v>1</v>
      </c>
      <c r="W228" t="str">
        <f t="shared" si="44"/>
        <v/>
      </c>
    </row>
    <row r="229" spans="1:23" outlineLevel="2" x14ac:dyDescent="0.3">
      <c r="A229">
        <v>24.11</v>
      </c>
      <c r="I229">
        <f t="shared" si="45"/>
        <v>24.11</v>
      </c>
      <c r="J229" t="str">
        <f t="shared" si="46"/>
        <v/>
      </c>
      <c r="K229" t="e">
        <f t="shared" si="53"/>
        <v>#N/A</v>
      </c>
      <c r="L229" t="str">
        <f t="shared" si="47"/>
        <v/>
      </c>
      <c r="M229" t="str">
        <f t="shared" si="48"/>
        <v/>
      </c>
      <c r="N229" t="e">
        <f t="shared" si="54"/>
        <v>#N/A</v>
      </c>
      <c r="P229">
        <f t="shared" si="49"/>
        <v>1</v>
      </c>
      <c r="Q229" t="str">
        <f t="shared" ca="1" si="50"/>
        <v/>
      </c>
      <c r="R229" t="str">
        <f t="shared" ca="1" si="51"/>
        <v/>
      </c>
      <c r="T229">
        <f t="shared" si="52"/>
        <v>0</v>
      </c>
      <c r="V229">
        <v>1</v>
      </c>
      <c r="W229" t="str">
        <f t="shared" si="44"/>
        <v/>
      </c>
    </row>
    <row r="230" spans="1:23" outlineLevel="2" x14ac:dyDescent="0.3">
      <c r="A230">
        <v>24.28</v>
      </c>
      <c r="I230">
        <f t="shared" si="45"/>
        <v>24.28</v>
      </c>
      <c r="J230" t="str">
        <f t="shared" si="46"/>
        <v/>
      </c>
      <c r="K230" t="e">
        <f t="shared" si="53"/>
        <v>#N/A</v>
      </c>
      <c r="L230" t="str">
        <f t="shared" si="47"/>
        <v/>
      </c>
      <c r="M230" t="str">
        <f t="shared" si="48"/>
        <v/>
      </c>
      <c r="N230" t="e">
        <f t="shared" si="54"/>
        <v>#N/A</v>
      </c>
      <c r="P230">
        <f t="shared" si="49"/>
        <v>1</v>
      </c>
      <c r="Q230" t="str">
        <f t="shared" ca="1" si="50"/>
        <v/>
      </c>
      <c r="R230" t="str">
        <f t="shared" ca="1" si="51"/>
        <v/>
      </c>
      <c r="T230">
        <f t="shared" si="52"/>
        <v>0</v>
      </c>
      <c r="V230">
        <v>1</v>
      </c>
      <c r="W230" t="str">
        <f t="shared" si="44"/>
        <v/>
      </c>
    </row>
    <row r="231" spans="1:23" outlineLevel="2" x14ac:dyDescent="0.3">
      <c r="A231">
        <v>23.06</v>
      </c>
      <c r="I231">
        <f t="shared" si="45"/>
        <v>23.06</v>
      </c>
      <c r="J231" t="str">
        <f t="shared" si="46"/>
        <v/>
      </c>
      <c r="K231" t="e">
        <f t="shared" si="53"/>
        <v>#N/A</v>
      </c>
      <c r="L231" t="str">
        <f t="shared" si="47"/>
        <v/>
      </c>
      <c r="M231" t="str">
        <f t="shared" si="48"/>
        <v/>
      </c>
      <c r="N231" t="e">
        <f t="shared" si="54"/>
        <v>#N/A</v>
      </c>
      <c r="P231">
        <f t="shared" si="49"/>
        <v>1</v>
      </c>
      <c r="Q231" t="str">
        <f t="shared" ca="1" si="50"/>
        <v/>
      </c>
      <c r="R231" t="str">
        <f t="shared" ca="1" si="51"/>
        <v/>
      </c>
      <c r="T231">
        <f t="shared" si="52"/>
        <v>0</v>
      </c>
      <c r="V231">
        <v>1</v>
      </c>
      <c r="W231" t="str">
        <f t="shared" si="44"/>
        <v/>
      </c>
    </row>
    <row r="232" spans="1:23" outlineLevel="2" x14ac:dyDescent="0.3">
      <c r="A232">
        <v>20.9</v>
      </c>
      <c r="I232">
        <f t="shared" si="45"/>
        <v>20.9</v>
      </c>
      <c r="J232" t="str">
        <f t="shared" si="46"/>
        <v/>
      </c>
      <c r="K232" t="e">
        <f t="shared" si="53"/>
        <v>#N/A</v>
      </c>
      <c r="L232" t="str">
        <f t="shared" si="47"/>
        <v/>
      </c>
      <c r="M232" t="str">
        <f t="shared" si="48"/>
        <v/>
      </c>
      <c r="N232" t="e">
        <f t="shared" si="54"/>
        <v>#N/A</v>
      </c>
      <c r="P232">
        <f t="shared" si="49"/>
        <v>1</v>
      </c>
      <c r="Q232" t="str">
        <f t="shared" ca="1" si="50"/>
        <v/>
      </c>
      <c r="R232" t="str">
        <f t="shared" ca="1" si="51"/>
        <v/>
      </c>
      <c r="T232">
        <f t="shared" si="52"/>
        <v>0</v>
      </c>
      <c r="V232">
        <v>1</v>
      </c>
      <c r="W232" t="str">
        <f t="shared" si="44"/>
        <v/>
      </c>
    </row>
    <row r="233" spans="1:23" outlineLevel="2" x14ac:dyDescent="0.3">
      <c r="A233">
        <v>19.89</v>
      </c>
      <c r="I233">
        <f t="shared" si="45"/>
        <v>19.89</v>
      </c>
      <c r="J233" t="str">
        <f t="shared" si="46"/>
        <v/>
      </c>
      <c r="K233" t="e">
        <f t="shared" si="53"/>
        <v>#N/A</v>
      </c>
      <c r="L233" t="str">
        <f t="shared" si="47"/>
        <v/>
      </c>
      <c r="M233" t="str">
        <f t="shared" si="48"/>
        <v/>
      </c>
      <c r="N233" t="e">
        <f t="shared" si="54"/>
        <v>#N/A</v>
      </c>
      <c r="P233">
        <f t="shared" si="49"/>
        <v>1</v>
      </c>
      <c r="Q233" t="str">
        <f t="shared" ca="1" si="50"/>
        <v/>
      </c>
      <c r="R233" t="str">
        <f t="shared" ca="1" si="51"/>
        <v/>
      </c>
      <c r="T233">
        <f t="shared" si="52"/>
        <v>0</v>
      </c>
      <c r="V233">
        <v>1</v>
      </c>
      <c r="W233" t="str">
        <f t="shared" si="44"/>
        <v/>
      </c>
    </row>
    <row r="234" spans="1:23" outlineLevel="2" x14ac:dyDescent="0.3">
      <c r="A234">
        <v>19.690000000000001</v>
      </c>
      <c r="I234">
        <f t="shared" si="45"/>
        <v>19.690000000000001</v>
      </c>
      <c r="J234" t="str">
        <f t="shared" si="46"/>
        <v/>
      </c>
      <c r="K234" t="e">
        <f t="shared" si="53"/>
        <v>#N/A</v>
      </c>
      <c r="L234" t="str">
        <f t="shared" si="47"/>
        <v/>
      </c>
      <c r="M234" t="str">
        <f t="shared" si="48"/>
        <v/>
      </c>
      <c r="N234" t="e">
        <f t="shared" si="54"/>
        <v>#N/A</v>
      </c>
      <c r="P234">
        <f t="shared" si="49"/>
        <v>1</v>
      </c>
      <c r="Q234" t="str">
        <f t="shared" ca="1" si="50"/>
        <v/>
      </c>
      <c r="R234" t="str">
        <f t="shared" ca="1" si="51"/>
        <v/>
      </c>
      <c r="T234">
        <f t="shared" si="52"/>
        <v>0</v>
      </c>
      <c r="V234">
        <v>1</v>
      </c>
      <c r="W234" t="str">
        <f t="shared" si="44"/>
        <v/>
      </c>
    </row>
    <row r="235" spans="1:23" outlineLevel="2" x14ac:dyDescent="0.3">
      <c r="A235">
        <v>17.940000000000001</v>
      </c>
      <c r="I235">
        <f t="shared" si="45"/>
        <v>17.940000000000001</v>
      </c>
      <c r="J235" t="str">
        <f t="shared" si="46"/>
        <v/>
      </c>
      <c r="K235" t="e">
        <f t="shared" si="53"/>
        <v>#N/A</v>
      </c>
      <c r="L235" t="str">
        <f t="shared" si="47"/>
        <v/>
      </c>
      <c r="M235" t="str">
        <f t="shared" si="48"/>
        <v/>
      </c>
      <c r="N235" t="e">
        <f t="shared" si="54"/>
        <v>#N/A</v>
      </c>
      <c r="P235">
        <f t="shared" si="49"/>
        <v>1</v>
      </c>
      <c r="Q235" t="str">
        <f t="shared" ca="1" si="50"/>
        <v/>
      </c>
      <c r="R235" t="str">
        <f t="shared" ca="1" si="51"/>
        <v/>
      </c>
      <c r="T235">
        <f t="shared" si="52"/>
        <v>0</v>
      </c>
      <c r="V235">
        <v>1</v>
      </c>
      <c r="W235" t="str">
        <f t="shared" si="44"/>
        <v/>
      </c>
    </row>
    <row r="236" spans="1:23" outlineLevel="2" x14ac:dyDescent="0.3">
      <c r="A236">
        <v>15.36</v>
      </c>
      <c r="I236">
        <f t="shared" si="45"/>
        <v>15.36</v>
      </c>
      <c r="J236" t="str">
        <f t="shared" si="46"/>
        <v/>
      </c>
      <c r="K236" t="e">
        <f t="shared" si="53"/>
        <v>#N/A</v>
      </c>
      <c r="L236" t="str">
        <f t="shared" si="47"/>
        <v/>
      </c>
      <c r="M236" t="str">
        <f t="shared" si="48"/>
        <v/>
      </c>
      <c r="N236" t="e">
        <f t="shared" si="54"/>
        <v>#N/A</v>
      </c>
      <c r="P236">
        <f t="shared" si="49"/>
        <v>1</v>
      </c>
      <c r="Q236" t="str">
        <f t="shared" ca="1" si="50"/>
        <v/>
      </c>
      <c r="R236" t="str">
        <f t="shared" ca="1" si="51"/>
        <v/>
      </c>
      <c r="T236">
        <f t="shared" si="52"/>
        <v>0</v>
      </c>
      <c r="V236">
        <v>1</v>
      </c>
      <c r="W236" t="str">
        <f t="shared" si="44"/>
        <v/>
      </c>
    </row>
    <row r="237" spans="1:23" outlineLevel="2" x14ac:dyDescent="0.3">
      <c r="A237">
        <v>14.96</v>
      </c>
      <c r="I237">
        <f t="shared" si="45"/>
        <v>14.96</v>
      </c>
      <c r="J237" t="str">
        <f t="shared" si="46"/>
        <v/>
      </c>
      <c r="K237" t="e">
        <f t="shared" si="53"/>
        <v>#N/A</v>
      </c>
      <c r="L237" t="str">
        <f t="shared" si="47"/>
        <v/>
      </c>
      <c r="M237" t="str">
        <f t="shared" si="48"/>
        <v/>
      </c>
      <c r="N237" t="e">
        <f t="shared" si="54"/>
        <v>#N/A</v>
      </c>
      <c r="P237">
        <f t="shared" si="49"/>
        <v>1</v>
      </c>
      <c r="Q237" t="str">
        <f t="shared" ca="1" si="50"/>
        <v/>
      </c>
      <c r="R237" t="str">
        <f t="shared" ca="1" si="51"/>
        <v/>
      </c>
      <c r="T237">
        <f t="shared" si="52"/>
        <v>0</v>
      </c>
      <c r="V237">
        <v>1</v>
      </c>
      <c r="W237" t="str">
        <f t="shared" si="44"/>
        <v/>
      </c>
    </row>
    <row r="238" spans="1:23" outlineLevel="2" x14ac:dyDescent="0.3">
      <c r="A238">
        <v>15.98</v>
      </c>
      <c r="I238">
        <f t="shared" si="45"/>
        <v>15.98</v>
      </c>
      <c r="J238" t="str">
        <f t="shared" si="46"/>
        <v/>
      </c>
      <c r="K238" t="e">
        <f t="shared" si="53"/>
        <v>#N/A</v>
      </c>
      <c r="L238" t="str">
        <f t="shared" si="47"/>
        <v/>
      </c>
      <c r="M238" t="str">
        <f t="shared" si="48"/>
        <v/>
      </c>
      <c r="N238" t="e">
        <f t="shared" si="54"/>
        <v>#N/A</v>
      </c>
      <c r="P238">
        <f t="shared" si="49"/>
        <v>1</v>
      </c>
      <c r="Q238" t="str">
        <f t="shared" ca="1" si="50"/>
        <v/>
      </c>
      <c r="R238" t="str">
        <f t="shared" ca="1" si="51"/>
        <v/>
      </c>
      <c r="T238">
        <f t="shared" si="52"/>
        <v>0</v>
      </c>
      <c r="V238">
        <v>1</v>
      </c>
      <c r="W238" t="str">
        <f t="shared" si="44"/>
        <v/>
      </c>
    </row>
    <row r="239" spans="1:23" outlineLevel="2" x14ac:dyDescent="0.3">
      <c r="A239">
        <v>15.54</v>
      </c>
      <c r="I239">
        <f t="shared" si="45"/>
        <v>15.54</v>
      </c>
      <c r="J239" t="str">
        <f>IF(AND(I240&gt;I239,I240&gt;I242,I240&gt;$D$5),I240,"")</f>
        <v/>
      </c>
      <c r="K239" t="e">
        <f t="shared" si="53"/>
        <v>#N/A</v>
      </c>
      <c r="L239" t="str">
        <f t="shared" si="47"/>
        <v/>
      </c>
      <c r="M239" t="str">
        <f>IF(AND(L240&lt;L239,L240&lt;L242,L240&lt;$G$5),L240,"")</f>
        <v/>
      </c>
      <c r="N239" t="e">
        <f t="shared" si="54"/>
        <v>#N/A</v>
      </c>
      <c r="P239">
        <f t="shared" si="49"/>
        <v>1</v>
      </c>
      <c r="Q239" t="str">
        <f t="shared" ca="1" si="50"/>
        <v/>
      </c>
      <c r="R239" t="str">
        <f t="shared" ca="1" si="51"/>
        <v/>
      </c>
      <c r="T239">
        <f t="shared" si="52"/>
        <v>0</v>
      </c>
      <c r="V239">
        <v>1</v>
      </c>
      <c r="W239" t="str">
        <f t="shared" si="44"/>
        <v/>
      </c>
    </row>
    <row r="240" spans="1:23" outlineLevel="2" x14ac:dyDescent="0.3">
      <c r="A240">
        <v>12.52</v>
      </c>
      <c r="I240">
        <f t="shared" si="45"/>
        <v>12.52</v>
      </c>
      <c r="J240" t="str">
        <f>IF(AND(I242&gt;I240,I242&gt;I243,I242&gt;$D$5),I242,"")</f>
        <v/>
      </c>
      <c r="K240" t="e">
        <f t="shared" si="53"/>
        <v>#N/A</v>
      </c>
      <c r="L240" t="str">
        <f t="shared" si="47"/>
        <v/>
      </c>
      <c r="M240" t="str">
        <f>IF(AND(L242&lt;L240,L242&lt;L243,L242&lt;$G$5),L242,"")</f>
        <v/>
      </c>
      <c r="N240" t="e">
        <f t="shared" si="54"/>
        <v>#N/A</v>
      </c>
      <c r="P240">
        <f t="shared" si="49"/>
        <v>1</v>
      </c>
      <c r="Q240">
        <f ca="1">IF(AND(A242&gt;=0,A240&lt;0),CELL("ROW",A242),IF(AND(A242&lt;0,A240&gt;=0),CELL("ROW",A242),""))</f>
        <v>242</v>
      </c>
      <c r="R240" t="str">
        <f t="shared" ca="1" si="51"/>
        <v>242</v>
      </c>
      <c r="T240">
        <f>S242-S240</f>
        <v>0</v>
      </c>
      <c r="V240">
        <v>1</v>
      </c>
      <c r="W240" t="str">
        <f t="shared" si="44"/>
        <v/>
      </c>
    </row>
    <row r="241" spans="1:23" outlineLevel="1" x14ac:dyDescent="0.3">
      <c r="O241" s="1" t="s">
        <v>26</v>
      </c>
      <c r="P241">
        <f>SUBTOTAL(3,P188:P240)</f>
        <v>53</v>
      </c>
      <c r="V241">
        <v>53</v>
      </c>
      <c r="W241" t="str">
        <f t="shared" si="44"/>
        <v/>
      </c>
    </row>
    <row r="242" spans="1:23" outlineLevel="2" x14ac:dyDescent="0.3">
      <c r="A242">
        <v>-13.57</v>
      </c>
      <c r="I242" t="str">
        <f t="shared" si="45"/>
        <v/>
      </c>
      <c r="J242" t="str">
        <f t="shared" si="46"/>
        <v/>
      </c>
      <c r="K242" t="e">
        <f t="shared" ref="K242:K257" si="55">MATCH(J242,$A$1:$A$10041,0)</f>
        <v>#N/A</v>
      </c>
      <c r="L242">
        <f t="shared" si="47"/>
        <v>-13.57</v>
      </c>
      <c r="M242" t="str">
        <f t="shared" si="48"/>
        <v/>
      </c>
      <c r="N242" t="e">
        <f t="shared" ref="N242:N257" si="56">MATCH(M242,$A$1:$A$10041,0)</f>
        <v>#N/A</v>
      </c>
      <c r="P242">
        <f t="shared" si="49"/>
        <v>2</v>
      </c>
      <c r="Q242" t="str">
        <f t="shared" ca="1" si="50"/>
        <v/>
      </c>
      <c r="R242" t="str">
        <f t="shared" ca="1" si="51"/>
        <v/>
      </c>
      <c r="T242">
        <f t="shared" si="52"/>
        <v>0</v>
      </c>
      <c r="V242">
        <v>2</v>
      </c>
      <c r="W242" t="str">
        <f t="shared" si="44"/>
        <v/>
      </c>
    </row>
    <row r="243" spans="1:23" outlineLevel="2" x14ac:dyDescent="0.3">
      <c r="A243">
        <v>-16.18</v>
      </c>
      <c r="I243" t="str">
        <f t="shared" si="45"/>
        <v/>
      </c>
      <c r="J243" t="str">
        <f t="shared" si="46"/>
        <v/>
      </c>
      <c r="K243" t="e">
        <f t="shared" si="55"/>
        <v>#N/A</v>
      </c>
      <c r="L243">
        <f t="shared" si="47"/>
        <v>-16.18</v>
      </c>
      <c r="M243" t="str">
        <f t="shared" si="48"/>
        <v/>
      </c>
      <c r="N243" t="e">
        <f t="shared" si="56"/>
        <v>#N/A</v>
      </c>
      <c r="P243">
        <f t="shared" si="49"/>
        <v>2</v>
      </c>
      <c r="Q243" t="str">
        <f t="shared" ca="1" si="50"/>
        <v/>
      </c>
      <c r="R243" t="str">
        <f t="shared" ca="1" si="51"/>
        <v/>
      </c>
      <c r="T243">
        <f t="shared" si="52"/>
        <v>0</v>
      </c>
      <c r="V243">
        <v>2</v>
      </c>
      <c r="W243" t="str">
        <f t="shared" si="44"/>
        <v/>
      </c>
    </row>
    <row r="244" spans="1:23" outlineLevel="2" x14ac:dyDescent="0.3">
      <c r="A244">
        <v>-17.489999999999998</v>
      </c>
      <c r="I244" t="str">
        <f t="shared" si="45"/>
        <v/>
      </c>
      <c r="J244" t="str">
        <f t="shared" si="46"/>
        <v/>
      </c>
      <c r="K244" t="e">
        <f t="shared" si="55"/>
        <v>#N/A</v>
      </c>
      <c r="L244">
        <f t="shared" si="47"/>
        <v>-17.489999999999998</v>
      </c>
      <c r="M244" t="str">
        <f t="shared" si="48"/>
        <v/>
      </c>
      <c r="N244" t="e">
        <f t="shared" si="56"/>
        <v>#N/A</v>
      </c>
      <c r="P244">
        <f t="shared" si="49"/>
        <v>2</v>
      </c>
      <c r="Q244" t="str">
        <f t="shared" ca="1" si="50"/>
        <v/>
      </c>
      <c r="R244" t="str">
        <f t="shared" ca="1" si="51"/>
        <v/>
      </c>
      <c r="T244">
        <f t="shared" si="52"/>
        <v>0</v>
      </c>
      <c r="V244">
        <v>2</v>
      </c>
      <c r="W244" t="str">
        <f t="shared" si="44"/>
        <v/>
      </c>
    </row>
    <row r="245" spans="1:23" outlineLevel="2" x14ac:dyDescent="0.3">
      <c r="A245">
        <v>-16.57</v>
      </c>
      <c r="I245" t="str">
        <f t="shared" si="45"/>
        <v/>
      </c>
      <c r="J245" t="str">
        <f t="shared" si="46"/>
        <v/>
      </c>
      <c r="K245" t="e">
        <f t="shared" si="55"/>
        <v>#N/A</v>
      </c>
      <c r="L245">
        <f t="shared" si="47"/>
        <v>-16.57</v>
      </c>
      <c r="M245" t="str">
        <f t="shared" si="48"/>
        <v/>
      </c>
      <c r="N245" t="e">
        <f t="shared" si="56"/>
        <v>#N/A</v>
      </c>
      <c r="P245">
        <f t="shared" si="49"/>
        <v>2</v>
      </c>
      <c r="Q245" t="str">
        <f t="shared" ca="1" si="50"/>
        <v/>
      </c>
      <c r="R245" t="str">
        <f t="shared" ca="1" si="51"/>
        <v/>
      </c>
      <c r="T245">
        <f t="shared" si="52"/>
        <v>0</v>
      </c>
      <c r="V245">
        <v>2</v>
      </c>
      <c r="W245" t="str">
        <f t="shared" si="44"/>
        <v/>
      </c>
    </row>
    <row r="246" spans="1:23" outlineLevel="2" x14ac:dyDescent="0.3">
      <c r="A246">
        <v>-15.03</v>
      </c>
      <c r="I246" t="str">
        <f t="shared" si="45"/>
        <v/>
      </c>
      <c r="J246" t="str">
        <f t="shared" si="46"/>
        <v/>
      </c>
      <c r="K246" t="e">
        <f t="shared" si="55"/>
        <v>#N/A</v>
      </c>
      <c r="L246">
        <f t="shared" si="47"/>
        <v>-15.03</v>
      </c>
      <c r="M246" t="str">
        <f t="shared" si="48"/>
        <v/>
      </c>
      <c r="N246" t="e">
        <f t="shared" si="56"/>
        <v>#N/A</v>
      </c>
      <c r="P246">
        <f t="shared" si="49"/>
        <v>2</v>
      </c>
      <c r="Q246" t="str">
        <f t="shared" ca="1" si="50"/>
        <v/>
      </c>
      <c r="R246" t="str">
        <f t="shared" ca="1" si="51"/>
        <v/>
      </c>
      <c r="T246">
        <f t="shared" si="52"/>
        <v>0</v>
      </c>
      <c r="V246">
        <v>2</v>
      </c>
      <c r="W246" t="str">
        <f t="shared" si="44"/>
        <v/>
      </c>
    </row>
    <row r="247" spans="1:23" outlineLevel="2" x14ac:dyDescent="0.3">
      <c r="A247">
        <v>-15.26</v>
      </c>
      <c r="I247" t="str">
        <f t="shared" si="45"/>
        <v/>
      </c>
      <c r="J247" t="str">
        <f t="shared" si="46"/>
        <v/>
      </c>
      <c r="K247" t="e">
        <f t="shared" si="55"/>
        <v>#N/A</v>
      </c>
      <c r="L247">
        <f t="shared" si="47"/>
        <v>-15.26</v>
      </c>
      <c r="M247" t="str">
        <f t="shared" si="48"/>
        <v/>
      </c>
      <c r="N247" t="e">
        <f t="shared" si="56"/>
        <v>#N/A</v>
      </c>
      <c r="P247">
        <f t="shared" si="49"/>
        <v>2</v>
      </c>
      <c r="Q247" t="str">
        <f t="shared" ca="1" si="50"/>
        <v/>
      </c>
      <c r="R247" t="str">
        <f t="shared" ca="1" si="51"/>
        <v/>
      </c>
      <c r="T247">
        <f t="shared" si="52"/>
        <v>0</v>
      </c>
      <c r="V247">
        <v>2</v>
      </c>
      <c r="W247" t="str">
        <f t="shared" si="44"/>
        <v/>
      </c>
    </row>
    <row r="248" spans="1:23" outlineLevel="2" x14ac:dyDescent="0.3">
      <c r="A248">
        <v>-16.260000000000002</v>
      </c>
      <c r="I248" t="str">
        <f t="shared" si="45"/>
        <v/>
      </c>
      <c r="J248" t="str">
        <f t="shared" si="46"/>
        <v/>
      </c>
      <c r="K248" t="e">
        <f t="shared" si="55"/>
        <v>#N/A</v>
      </c>
      <c r="L248">
        <f t="shared" si="47"/>
        <v>-16.260000000000002</v>
      </c>
      <c r="M248" t="str">
        <f t="shared" si="48"/>
        <v/>
      </c>
      <c r="N248" t="e">
        <f t="shared" si="56"/>
        <v>#N/A</v>
      </c>
      <c r="P248">
        <f t="shared" si="49"/>
        <v>2</v>
      </c>
      <c r="Q248" t="str">
        <f t="shared" ca="1" si="50"/>
        <v/>
      </c>
      <c r="R248" t="str">
        <f t="shared" ca="1" si="51"/>
        <v/>
      </c>
      <c r="T248">
        <f t="shared" si="52"/>
        <v>0</v>
      </c>
      <c r="V248">
        <v>2</v>
      </c>
      <c r="W248" t="str">
        <f t="shared" si="44"/>
        <v/>
      </c>
    </row>
    <row r="249" spans="1:23" outlineLevel="2" x14ac:dyDescent="0.3">
      <c r="A249">
        <v>-16.27</v>
      </c>
      <c r="I249" t="str">
        <f t="shared" si="45"/>
        <v/>
      </c>
      <c r="J249" t="str">
        <f t="shared" si="46"/>
        <v/>
      </c>
      <c r="K249" t="e">
        <f t="shared" si="55"/>
        <v>#N/A</v>
      </c>
      <c r="L249">
        <f t="shared" si="47"/>
        <v>-16.27</v>
      </c>
      <c r="M249" t="str">
        <f t="shared" si="48"/>
        <v/>
      </c>
      <c r="N249" t="e">
        <f t="shared" si="56"/>
        <v>#N/A</v>
      </c>
      <c r="P249">
        <f t="shared" si="49"/>
        <v>2</v>
      </c>
      <c r="Q249" t="str">
        <f t="shared" ca="1" si="50"/>
        <v/>
      </c>
      <c r="R249" t="str">
        <f t="shared" ca="1" si="51"/>
        <v/>
      </c>
      <c r="T249">
        <f t="shared" si="52"/>
        <v>0</v>
      </c>
      <c r="V249">
        <v>2</v>
      </c>
      <c r="W249" t="str">
        <f t="shared" si="44"/>
        <v/>
      </c>
    </row>
    <row r="250" spans="1:23" outlineLevel="2" x14ac:dyDescent="0.3">
      <c r="A250">
        <v>-15.5</v>
      </c>
      <c r="I250" t="str">
        <f t="shared" si="45"/>
        <v/>
      </c>
      <c r="J250" t="str">
        <f t="shared" si="46"/>
        <v/>
      </c>
      <c r="K250" t="e">
        <f t="shared" si="55"/>
        <v>#N/A</v>
      </c>
      <c r="L250">
        <f t="shared" si="47"/>
        <v>-15.5</v>
      </c>
      <c r="M250" t="str">
        <f t="shared" si="48"/>
        <v/>
      </c>
      <c r="N250" t="e">
        <f t="shared" si="56"/>
        <v>#N/A</v>
      </c>
      <c r="P250">
        <f t="shared" si="49"/>
        <v>2</v>
      </c>
      <c r="Q250" t="str">
        <f t="shared" ca="1" si="50"/>
        <v/>
      </c>
      <c r="R250" t="str">
        <f t="shared" ca="1" si="51"/>
        <v/>
      </c>
      <c r="T250">
        <f t="shared" si="52"/>
        <v>0</v>
      </c>
      <c r="V250">
        <v>2</v>
      </c>
      <c r="W250" t="str">
        <f t="shared" si="44"/>
        <v/>
      </c>
    </row>
    <row r="251" spans="1:23" outlineLevel="2" x14ac:dyDescent="0.3">
      <c r="A251">
        <v>-14.64</v>
      </c>
      <c r="I251" t="str">
        <f t="shared" si="45"/>
        <v/>
      </c>
      <c r="J251" t="str">
        <f t="shared" si="46"/>
        <v/>
      </c>
      <c r="K251" t="e">
        <f t="shared" si="55"/>
        <v>#N/A</v>
      </c>
      <c r="L251">
        <f t="shared" si="47"/>
        <v>-14.64</v>
      </c>
      <c r="M251" t="str">
        <f t="shared" si="48"/>
        <v/>
      </c>
      <c r="N251" t="e">
        <f t="shared" si="56"/>
        <v>#N/A</v>
      </c>
      <c r="P251">
        <f t="shared" si="49"/>
        <v>2</v>
      </c>
      <c r="Q251" t="str">
        <f t="shared" ca="1" si="50"/>
        <v/>
      </c>
      <c r="R251" t="str">
        <f t="shared" ca="1" si="51"/>
        <v/>
      </c>
      <c r="T251">
        <f t="shared" si="52"/>
        <v>0</v>
      </c>
      <c r="V251">
        <v>2</v>
      </c>
      <c r="W251" t="str">
        <f t="shared" si="44"/>
        <v/>
      </c>
    </row>
    <row r="252" spans="1:23" outlineLevel="2" x14ac:dyDescent="0.3">
      <c r="A252">
        <v>-14.34</v>
      </c>
      <c r="I252" t="str">
        <f t="shared" si="45"/>
        <v/>
      </c>
      <c r="J252" t="str">
        <f t="shared" si="46"/>
        <v/>
      </c>
      <c r="K252" t="e">
        <f t="shared" si="55"/>
        <v>#N/A</v>
      </c>
      <c r="L252">
        <f t="shared" si="47"/>
        <v>-14.34</v>
      </c>
      <c r="M252" t="str">
        <f t="shared" si="48"/>
        <v/>
      </c>
      <c r="N252" t="e">
        <f t="shared" si="56"/>
        <v>#N/A</v>
      </c>
      <c r="P252">
        <f t="shared" si="49"/>
        <v>2</v>
      </c>
      <c r="Q252" t="str">
        <f t="shared" ca="1" si="50"/>
        <v/>
      </c>
      <c r="R252" t="str">
        <f t="shared" ca="1" si="51"/>
        <v/>
      </c>
      <c r="T252">
        <f t="shared" si="52"/>
        <v>0</v>
      </c>
      <c r="V252">
        <v>2</v>
      </c>
      <c r="W252" t="str">
        <f t="shared" si="44"/>
        <v/>
      </c>
    </row>
    <row r="253" spans="1:23" outlineLevel="2" x14ac:dyDescent="0.3">
      <c r="A253">
        <v>-14.61</v>
      </c>
      <c r="I253" t="str">
        <f t="shared" si="45"/>
        <v/>
      </c>
      <c r="J253" t="str">
        <f t="shared" si="46"/>
        <v/>
      </c>
      <c r="K253" t="e">
        <f t="shared" si="55"/>
        <v>#N/A</v>
      </c>
      <c r="L253">
        <f t="shared" si="47"/>
        <v>-14.61</v>
      </c>
      <c r="M253" t="str">
        <f t="shared" si="48"/>
        <v/>
      </c>
      <c r="N253" t="e">
        <f t="shared" si="56"/>
        <v>#N/A</v>
      </c>
      <c r="P253">
        <f t="shared" si="49"/>
        <v>2</v>
      </c>
      <c r="Q253" t="str">
        <f t="shared" ca="1" si="50"/>
        <v/>
      </c>
      <c r="R253" t="str">
        <f t="shared" ca="1" si="51"/>
        <v/>
      </c>
      <c r="T253">
        <f t="shared" si="52"/>
        <v>0</v>
      </c>
      <c r="V253">
        <v>2</v>
      </c>
      <c r="W253" t="str">
        <f t="shared" si="44"/>
        <v/>
      </c>
    </row>
    <row r="254" spans="1:23" outlineLevel="2" x14ac:dyDescent="0.3">
      <c r="A254">
        <v>-14.26</v>
      </c>
      <c r="I254" t="str">
        <f t="shared" si="45"/>
        <v/>
      </c>
      <c r="J254" t="str">
        <f t="shared" si="46"/>
        <v/>
      </c>
      <c r="K254" t="e">
        <f t="shared" si="55"/>
        <v>#N/A</v>
      </c>
      <c r="L254">
        <f t="shared" si="47"/>
        <v>-14.26</v>
      </c>
      <c r="M254" t="str">
        <f t="shared" si="48"/>
        <v/>
      </c>
      <c r="N254" t="e">
        <f t="shared" si="56"/>
        <v>#N/A</v>
      </c>
      <c r="P254">
        <f t="shared" si="49"/>
        <v>2</v>
      </c>
      <c r="Q254" t="str">
        <f t="shared" ca="1" si="50"/>
        <v/>
      </c>
      <c r="R254" t="str">
        <f t="shared" ca="1" si="51"/>
        <v/>
      </c>
      <c r="T254">
        <f t="shared" si="52"/>
        <v>0</v>
      </c>
      <c r="V254">
        <v>2</v>
      </c>
      <c r="W254" t="str">
        <f t="shared" si="44"/>
        <v/>
      </c>
    </row>
    <row r="255" spans="1:23" outlineLevel="2" x14ac:dyDescent="0.3">
      <c r="A255">
        <v>-12.77</v>
      </c>
      <c r="I255" t="str">
        <f t="shared" si="45"/>
        <v/>
      </c>
      <c r="J255" t="str">
        <f t="shared" si="46"/>
        <v/>
      </c>
      <c r="K255" t="e">
        <f t="shared" si="55"/>
        <v>#N/A</v>
      </c>
      <c r="L255">
        <f t="shared" si="47"/>
        <v>-12.77</v>
      </c>
      <c r="M255" t="str">
        <f t="shared" si="48"/>
        <v/>
      </c>
      <c r="N255" t="e">
        <f t="shared" si="56"/>
        <v>#N/A</v>
      </c>
      <c r="P255">
        <f t="shared" si="49"/>
        <v>2</v>
      </c>
      <c r="Q255" t="str">
        <f t="shared" ca="1" si="50"/>
        <v/>
      </c>
      <c r="R255" t="str">
        <f t="shared" ca="1" si="51"/>
        <v/>
      </c>
      <c r="T255">
        <f t="shared" si="52"/>
        <v>0</v>
      </c>
      <c r="V255">
        <v>2</v>
      </c>
      <c r="W255" t="str">
        <f t="shared" si="44"/>
        <v/>
      </c>
    </row>
    <row r="256" spans="1:23" outlineLevel="2" x14ac:dyDescent="0.3">
      <c r="A256">
        <v>-12.15</v>
      </c>
      <c r="I256" t="str">
        <f t="shared" si="45"/>
        <v/>
      </c>
      <c r="J256" t="str">
        <f>IF(AND(I257&gt;I256,I257&gt;I259,I257&gt;$D$5),I257,"")</f>
        <v/>
      </c>
      <c r="K256" t="e">
        <f t="shared" si="55"/>
        <v>#N/A</v>
      </c>
      <c r="L256">
        <f t="shared" si="47"/>
        <v>-12.15</v>
      </c>
      <c r="M256" t="str">
        <f>IF(AND(L257&lt;L256,L257&lt;L259,L257&lt;$G$5),L257,"")</f>
        <v/>
      </c>
      <c r="N256" t="e">
        <f t="shared" si="56"/>
        <v>#N/A</v>
      </c>
      <c r="P256">
        <f t="shared" si="49"/>
        <v>2</v>
      </c>
      <c r="Q256" t="str">
        <f t="shared" ca="1" si="50"/>
        <v/>
      </c>
      <c r="R256" t="str">
        <f t="shared" ca="1" si="51"/>
        <v/>
      </c>
      <c r="T256">
        <f t="shared" si="52"/>
        <v>0</v>
      </c>
      <c r="V256">
        <v>2</v>
      </c>
      <c r="W256" t="str">
        <f t="shared" si="44"/>
        <v/>
      </c>
    </row>
    <row r="257" spans="1:23" outlineLevel="2" x14ac:dyDescent="0.3">
      <c r="A257">
        <v>-12.09</v>
      </c>
      <c r="I257" t="str">
        <f t="shared" si="45"/>
        <v/>
      </c>
      <c r="J257" t="str">
        <f>IF(AND(I259&gt;I257,I259&gt;I260,I259&gt;$D$5),I259,"")</f>
        <v/>
      </c>
      <c r="K257" t="e">
        <f t="shared" si="55"/>
        <v>#N/A</v>
      </c>
      <c r="L257">
        <f t="shared" si="47"/>
        <v>-12.09</v>
      </c>
      <c r="M257" t="str">
        <f>IF(AND(L259&lt;L257,L259&lt;L260,L259&lt;$G$5),L259,"")</f>
        <v/>
      </c>
      <c r="N257" t="e">
        <f t="shared" si="56"/>
        <v>#N/A</v>
      </c>
      <c r="P257">
        <f t="shared" si="49"/>
        <v>2</v>
      </c>
      <c r="Q257">
        <f ca="1">IF(AND(A259&gt;=0,A257&lt;0),CELL("ROW",A259),IF(AND(A259&lt;0,A257&gt;=0),CELL("ROW",A259),""))</f>
        <v>259</v>
      </c>
      <c r="R257" t="str">
        <f t="shared" ca="1" si="51"/>
        <v>259</v>
      </c>
      <c r="T257">
        <f>S259-S257</f>
        <v>0</v>
      </c>
      <c r="V257">
        <v>2</v>
      </c>
      <c r="W257" t="str">
        <f t="shared" si="44"/>
        <v/>
      </c>
    </row>
    <row r="258" spans="1:23" outlineLevel="1" x14ac:dyDescent="0.3">
      <c r="O258" s="1" t="s">
        <v>27</v>
      </c>
      <c r="P258">
        <f>SUBTOTAL(3,P242:P257)</f>
        <v>16</v>
      </c>
      <c r="V258">
        <v>16</v>
      </c>
      <c r="W258">
        <f t="shared" si="44"/>
        <v>16</v>
      </c>
    </row>
    <row r="259" spans="1:23" outlineLevel="2" x14ac:dyDescent="0.3">
      <c r="A259">
        <v>17.96</v>
      </c>
      <c r="I259">
        <f t="shared" si="45"/>
        <v>17.96</v>
      </c>
      <c r="J259" t="str">
        <f t="shared" si="46"/>
        <v/>
      </c>
      <c r="K259" t="e">
        <f t="shared" ref="K259:K267" si="57">MATCH(J259,$A$1:$A$10041,0)</f>
        <v>#N/A</v>
      </c>
      <c r="L259" t="str">
        <f t="shared" si="47"/>
        <v/>
      </c>
      <c r="M259" t="str">
        <f t="shared" si="48"/>
        <v/>
      </c>
      <c r="N259" t="e">
        <f t="shared" ref="N259:N267" si="58">MATCH(M259,$A$1:$A$10041,0)</f>
        <v>#N/A</v>
      </c>
      <c r="P259">
        <f t="shared" si="49"/>
        <v>1</v>
      </c>
      <c r="Q259" t="str">
        <f t="shared" ca="1" si="50"/>
        <v/>
      </c>
      <c r="R259" t="str">
        <f t="shared" ca="1" si="51"/>
        <v/>
      </c>
      <c r="T259">
        <f t="shared" si="52"/>
        <v>0</v>
      </c>
      <c r="V259">
        <v>1</v>
      </c>
      <c r="W259" t="str">
        <f t="shared" ref="W259:W322" si="59">IF(AND(V259&gt;2,V259&lt;20),V259,"")</f>
        <v/>
      </c>
    </row>
    <row r="260" spans="1:23" outlineLevel="2" x14ac:dyDescent="0.3">
      <c r="A260">
        <v>43.09</v>
      </c>
      <c r="I260">
        <f t="shared" si="45"/>
        <v>43.09</v>
      </c>
      <c r="J260" t="str">
        <f t="shared" si="46"/>
        <v/>
      </c>
      <c r="K260" t="e">
        <f t="shared" si="57"/>
        <v>#N/A</v>
      </c>
      <c r="L260" t="str">
        <f t="shared" si="47"/>
        <v/>
      </c>
      <c r="M260" t="str">
        <f t="shared" si="48"/>
        <v/>
      </c>
      <c r="N260" t="e">
        <f t="shared" si="58"/>
        <v>#N/A</v>
      </c>
      <c r="P260">
        <f t="shared" si="49"/>
        <v>1</v>
      </c>
      <c r="Q260" t="str">
        <f t="shared" ca="1" si="50"/>
        <v/>
      </c>
      <c r="R260" t="str">
        <f t="shared" ca="1" si="51"/>
        <v/>
      </c>
      <c r="T260">
        <f t="shared" si="52"/>
        <v>0</v>
      </c>
      <c r="V260">
        <v>1</v>
      </c>
      <c r="W260" t="str">
        <f t="shared" si="59"/>
        <v/>
      </c>
    </row>
    <row r="261" spans="1:23" outlineLevel="2" x14ac:dyDescent="0.3">
      <c r="A261">
        <v>81.93</v>
      </c>
      <c r="I261">
        <f t="shared" si="45"/>
        <v>81.93</v>
      </c>
      <c r="J261" t="str">
        <f t="shared" si="46"/>
        <v/>
      </c>
      <c r="K261" t="e">
        <f t="shared" si="57"/>
        <v>#N/A</v>
      </c>
      <c r="L261" t="str">
        <f t="shared" si="47"/>
        <v/>
      </c>
      <c r="M261" t="str">
        <f t="shared" si="48"/>
        <v/>
      </c>
      <c r="N261" t="e">
        <f t="shared" si="58"/>
        <v>#N/A</v>
      </c>
      <c r="P261">
        <f t="shared" si="49"/>
        <v>1</v>
      </c>
      <c r="Q261" t="str">
        <f t="shared" ca="1" si="50"/>
        <v/>
      </c>
      <c r="R261" t="str">
        <f t="shared" ca="1" si="51"/>
        <v/>
      </c>
      <c r="T261">
        <f t="shared" si="52"/>
        <v>0</v>
      </c>
      <c r="V261">
        <v>1</v>
      </c>
      <c r="W261" t="str">
        <f t="shared" si="59"/>
        <v/>
      </c>
    </row>
    <row r="262" spans="1:23" outlineLevel="2" x14ac:dyDescent="0.3">
      <c r="A262">
        <v>129.38</v>
      </c>
      <c r="I262">
        <f t="shared" si="45"/>
        <v>129.38</v>
      </c>
      <c r="J262" t="str">
        <f t="shared" si="46"/>
        <v/>
      </c>
      <c r="K262" t="e">
        <f t="shared" si="57"/>
        <v>#N/A</v>
      </c>
      <c r="L262" t="str">
        <f t="shared" si="47"/>
        <v/>
      </c>
      <c r="M262" t="str">
        <f t="shared" si="48"/>
        <v/>
      </c>
      <c r="N262" t="e">
        <f t="shared" si="58"/>
        <v>#N/A</v>
      </c>
      <c r="P262">
        <f t="shared" si="49"/>
        <v>1</v>
      </c>
      <c r="Q262" t="str">
        <f t="shared" ca="1" si="50"/>
        <v/>
      </c>
      <c r="R262" t="str">
        <f t="shared" ca="1" si="51"/>
        <v/>
      </c>
      <c r="T262">
        <f t="shared" si="52"/>
        <v>0</v>
      </c>
      <c r="V262">
        <v>1</v>
      </c>
      <c r="W262" t="str">
        <f t="shared" si="59"/>
        <v/>
      </c>
    </row>
    <row r="263" spans="1:23" outlineLevel="2" x14ac:dyDescent="0.3">
      <c r="A263">
        <v>171.48</v>
      </c>
      <c r="I263">
        <f t="shared" si="45"/>
        <v>171.48</v>
      </c>
      <c r="J263">
        <f t="shared" si="46"/>
        <v>189.63</v>
      </c>
      <c r="K263">
        <f t="shared" si="57"/>
        <v>264</v>
      </c>
      <c r="L263" t="str">
        <f t="shared" si="47"/>
        <v/>
      </c>
      <c r="M263" t="str">
        <f t="shared" si="48"/>
        <v/>
      </c>
      <c r="N263" t="e">
        <f t="shared" si="58"/>
        <v>#N/A</v>
      </c>
      <c r="P263">
        <f t="shared" si="49"/>
        <v>1</v>
      </c>
      <c r="Q263" t="str">
        <f t="shared" ca="1" si="50"/>
        <v/>
      </c>
      <c r="R263" t="str">
        <f t="shared" ca="1" si="51"/>
        <v>264</v>
      </c>
      <c r="T263">
        <f t="shared" si="52"/>
        <v>0</v>
      </c>
      <c r="V263">
        <v>1</v>
      </c>
      <c r="W263" t="str">
        <f t="shared" si="59"/>
        <v/>
      </c>
    </row>
    <row r="264" spans="1:23" outlineLevel="2" x14ac:dyDescent="0.3">
      <c r="A264">
        <v>189.63</v>
      </c>
      <c r="I264">
        <f t="shared" si="45"/>
        <v>189.63</v>
      </c>
      <c r="J264" t="str">
        <f t="shared" si="46"/>
        <v/>
      </c>
      <c r="K264" t="e">
        <f t="shared" si="57"/>
        <v>#N/A</v>
      </c>
      <c r="L264" t="str">
        <f t="shared" si="47"/>
        <v/>
      </c>
      <c r="M264" t="str">
        <f t="shared" si="48"/>
        <v/>
      </c>
      <c r="N264" t="e">
        <f t="shared" si="58"/>
        <v>#N/A</v>
      </c>
      <c r="P264">
        <f t="shared" si="49"/>
        <v>1</v>
      </c>
      <c r="Q264" t="str">
        <f t="shared" ca="1" si="50"/>
        <v/>
      </c>
      <c r="R264" t="str">
        <f t="shared" ca="1" si="51"/>
        <v/>
      </c>
      <c r="T264">
        <f t="shared" si="52"/>
        <v>0</v>
      </c>
      <c r="V264">
        <v>1</v>
      </c>
      <c r="W264" t="str">
        <f t="shared" si="59"/>
        <v/>
      </c>
    </row>
    <row r="265" spans="1:23" outlineLevel="2" x14ac:dyDescent="0.3">
      <c r="A265">
        <v>170.95</v>
      </c>
      <c r="I265">
        <f t="shared" si="45"/>
        <v>170.95</v>
      </c>
      <c r="J265" t="str">
        <f t="shared" si="46"/>
        <v/>
      </c>
      <c r="K265" t="e">
        <f t="shared" si="57"/>
        <v>#N/A</v>
      </c>
      <c r="L265" t="str">
        <f t="shared" si="47"/>
        <v/>
      </c>
      <c r="M265" t="str">
        <f t="shared" si="48"/>
        <v/>
      </c>
      <c r="N265" t="e">
        <f t="shared" si="58"/>
        <v>#N/A</v>
      </c>
      <c r="P265">
        <f t="shared" si="49"/>
        <v>1</v>
      </c>
      <c r="Q265" t="str">
        <f t="shared" ca="1" si="50"/>
        <v/>
      </c>
      <c r="R265" t="str">
        <f t="shared" ca="1" si="51"/>
        <v/>
      </c>
      <c r="T265">
        <f t="shared" si="52"/>
        <v>0</v>
      </c>
      <c r="V265">
        <v>1</v>
      </c>
      <c r="W265" t="str">
        <f t="shared" si="59"/>
        <v/>
      </c>
    </row>
    <row r="266" spans="1:23" outlineLevel="2" x14ac:dyDescent="0.3">
      <c r="A266">
        <v>116.04</v>
      </c>
      <c r="I266">
        <f t="shared" si="45"/>
        <v>116.04</v>
      </c>
      <c r="J266" t="str">
        <f>IF(AND(I267&gt;I266,I267&gt;I269,I267&gt;$D$5),I267,"")</f>
        <v/>
      </c>
      <c r="K266" t="e">
        <f t="shared" si="57"/>
        <v>#N/A</v>
      </c>
      <c r="L266" t="str">
        <f t="shared" si="47"/>
        <v/>
      </c>
      <c r="M266" t="str">
        <f>IF(AND(L267&lt;L266,L267&lt;L269,L267&lt;$G$5),L267,"")</f>
        <v/>
      </c>
      <c r="N266" t="e">
        <f t="shared" si="58"/>
        <v>#N/A</v>
      </c>
      <c r="P266">
        <f t="shared" si="49"/>
        <v>1</v>
      </c>
      <c r="Q266" t="str">
        <f t="shared" ca="1" si="50"/>
        <v/>
      </c>
      <c r="R266" t="str">
        <f t="shared" ca="1" si="51"/>
        <v/>
      </c>
      <c r="T266">
        <f t="shared" si="52"/>
        <v>0</v>
      </c>
      <c r="V266">
        <v>1</v>
      </c>
      <c r="W266" t="str">
        <f t="shared" si="59"/>
        <v/>
      </c>
    </row>
    <row r="267" spans="1:23" outlineLevel="2" x14ac:dyDescent="0.3">
      <c r="A267">
        <v>38.520000000000003</v>
      </c>
      <c r="I267">
        <f t="shared" ref="I267:I333" si="60">IF(A267&gt;0,A267,"")</f>
        <v>38.520000000000003</v>
      </c>
      <c r="J267" t="str">
        <f>IF(AND(I269&gt;I267,I269&gt;I270,I269&gt;$D$5),I269,"")</f>
        <v/>
      </c>
      <c r="K267" t="e">
        <f t="shared" si="57"/>
        <v>#N/A</v>
      </c>
      <c r="L267" t="str">
        <f t="shared" ref="L267:L333" si="61">IF(A267&lt;0,A267,"")</f>
        <v/>
      </c>
      <c r="M267" t="str">
        <f>IF(AND(L269&lt;L267,L269&lt;L270,L269&lt;$G$5),L269,"")</f>
        <v/>
      </c>
      <c r="N267" t="e">
        <f t="shared" si="58"/>
        <v>#N/A</v>
      </c>
      <c r="P267">
        <f t="shared" ref="P267:P333" si="62">IF(A267&gt;0,1,2)</f>
        <v>1</v>
      </c>
      <c r="Q267">
        <f ca="1">IF(AND(A269&gt;=0,A267&lt;0),CELL("ROW",A269),IF(AND(A269&lt;0,A267&gt;=0),CELL("ROW",A269),""))</f>
        <v>269</v>
      </c>
      <c r="R267" t="str">
        <f t="shared" ref="R267:R333" ca="1" si="63">IF(ISNUMBER(K267),IF(INT(K267)=K267,K267,""),"")&amp;IF(ISNUMBER(N267),IF(INT(N267)=N267,N267,""),"")&amp;IF(ISNUMBER(Q267),IF(INT(Q267)=Q267,Q267,""),"")</f>
        <v>269</v>
      </c>
      <c r="T267">
        <f>S269-S267</f>
        <v>0</v>
      </c>
      <c r="V267">
        <v>1</v>
      </c>
      <c r="W267" t="str">
        <f t="shared" si="59"/>
        <v/>
      </c>
    </row>
    <row r="268" spans="1:23" outlineLevel="1" x14ac:dyDescent="0.3">
      <c r="O268" s="1" t="s">
        <v>26</v>
      </c>
      <c r="P268">
        <f>SUBTOTAL(3,P259:P267)</f>
        <v>9</v>
      </c>
      <c r="V268">
        <v>9</v>
      </c>
      <c r="W268">
        <f t="shared" si="59"/>
        <v>9</v>
      </c>
    </row>
    <row r="269" spans="1:23" outlineLevel="2" x14ac:dyDescent="0.3">
      <c r="A269">
        <v>-42</v>
      </c>
      <c r="I269" t="str">
        <f t="shared" si="60"/>
        <v/>
      </c>
      <c r="J269" t="str">
        <f t="shared" ref="J269:J333" si="64">IF(AND(I270&gt;I269,I270&gt;I271,I270&gt;$D$5),I270,"")</f>
        <v/>
      </c>
      <c r="K269" t="e">
        <f t="shared" ref="K269:K283" si="65">MATCH(J269,$A$1:$A$10041,0)</f>
        <v>#N/A</v>
      </c>
      <c r="L269">
        <f t="shared" si="61"/>
        <v>-42</v>
      </c>
      <c r="M269" t="str">
        <f t="shared" ref="M269:M333" si="66">IF(AND(L270&lt;L269,L270&lt;L271,L270&lt;$G$5),L270,"")</f>
        <v/>
      </c>
      <c r="N269" t="e">
        <f t="shared" ref="N269:N283" si="67">MATCH(M269,$A$1:$A$10041,0)</f>
        <v>#N/A</v>
      </c>
      <c r="P269">
        <f t="shared" si="62"/>
        <v>2</v>
      </c>
      <c r="Q269" t="str">
        <f t="shared" ref="Q269:Q333" ca="1" si="68">IF(AND(A270&gt;=0,A269&lt;0),CELL("ROW",A270),IF(AND(A270&lt;0,A269&gt;=0),CELL("ROW",A270),""))</f>
        <v/>
      </c>
      <c r="R269" t="str">
        <f t="shared" ca="1" si="63"/>
        <v/>
      </c>
      <c r="T269">
        <f t="shared" ref="T269:T333" si="69">S270-S269</f>
        <v>0</v>
      </c>
      <c r="V269">
        <v>2</v>
      </c>
      <c r="W269" t="str">
        <f t="shared" si="59"/>
        <v/>
      </c>
    </row>
    <row r="270" spans="1:23" outlineLevel="2" x14ac:dyDescent="0.3">
      <c r="A270">
        <v>-109.14</v>
      </c>
      <c r="I270" t="str">
        <f t="shared" si="60"/>
        <v/>
      </c>
      <c r="J270" t="str">
        <f t="shared" si="64"/>
        <v/>
      </c>
      <c r="K270" t="e">
        <f t="shared" si="65"/>
        <v>#N/A</v>
      </c>
      <c r="L270">
        <f t="shared" si="61"/>
        <v>-109.14</v>
      </c>
      <c r="M270" t="str">
        <f t="shared" si="66"/>
        <v/>
      </c>
      <c r="N270" t="e">
        <f t="shared" si="67"/>
        <v>#N/A</v>
      </c>
      <c r="P270">
        <f t="shared" si="62"/>
        <v>2</v>
      </c>
      <c r="Q270" t="str">
        <f t="shared" ca="1" si="68"/>
        <v/>
      </c>
      <c r="R270" t="str">
        <f t="shared" ca="1" si="63"/>
        <v/>
      </c>
      <c r="T270">
        <f t="shared" si="69"/>
        <v>0</v>
      </c>
      <c r="V270">
        <v>2</v>
      </c>
      <c r="W270" t="str">
        <f t="shared" si="59"/>
        <v/>
      </c>
    </row>
    <row r="271" spans="1:23" outlineLevel="2" x14ac:dyDescent="0.3">
      <c r="A271">
        <v>-155.12</v>
      </c>
      <c r="I271" t="str">
        <f t="shared" si="60"/>
        <v/>
      </c>
      <c r="J271" t="str">
        <f t="shared" si="64"/>
        <v/>
      </c>
      <c r="K271" t="e">
        <f t="shared" si="65"/>
        <v>#N/A</v>
      </c>
      <c r="L271">
        <f t="shared" si="61"/>
        <v>-155.12</v>
      </c>
      <c r="M271" t="str">
        <f t="shared" si="66"/>
        <v/>
      </c>
      <c r="N271" t="e">
        <f t="shared" si="67"/>
        <v>#N/A</v>
      </c>
      <c r="P271">
        <f t="shared" si="62"/>
        <v>2</v>
      </c>
      <c r="Q271" t="str">
        <f t="shared" ca="1" si="68"/>
        <v/>
      </c>
      <c r="R271" t="str">
        <f t="shared" ca="1" si="63"/>
        <v/>
      </c>
      <c r="T271">
        <f t="shared" si="69"/>
        <v>0</v>
      </c>
      <c r="V271">
        <v>2</v>
      </c>
      <c r="W271" t="str">
        <f t="shared" si="59"/>
        <v/>
      </c>
    </row>
    <row r="272" spans="1:23" outlineLevel="2" x14ac:dyDescent="0.3">
      <c r="A272">
        <v>-181.58</v>
      </c>
      <c r="I272" t="str">
        <f t="shared" si="60"/>
        <v/>
      </c>
      <c r="J272" t="str">
        <f t="shared" si="64"/>
        <v/>
      </c>
      <c r="K272" t="e">
        <f t="shared" si="65"/>
        <v>#N/A</v>
      </c>
      <c r="L272">
        <f t="shared" si="61"/>
        <v>-181.58</v>
      </c>
      <c r="M272">
        <f t="shared" si="66"/>
        <v>-192.47</v>
      </c>
      <c r="N272">
        <f t="shared" si="67"/>
        <v>273</v>
      </c>
      <c r="P272">
        <f t="shared" si="62"/>
        <v>2</v>
      </c>
      <c r="Q272" t="str">
        <f t="shared" ca="1" si="68"/>
        <v/>
      </c>
      <c r="R272" t="str">
        <f t="shared" ca="1" si="63"/>
        <v>273</v>
      </c>
      <c r="T272">
        <f t="shared" si="69"/>
        <v>0</v>
      </c>
      <c r="V272">
        <v>2</v>
      </c>
      <c r="W272" t="str">
        <f t="shared" si="59"/>
        <v/>
      </c>
    </row>
    <row r="273" spans="1:23" outlineLevel="2" x14ac:dyDescent="0.3">
      <c r="A273">
        <v>-192.47</v>
      </c>
      <c r="I273" t="str">
        <f t="shared" si="60"/>
        <v/>
      </c>
      <c r="J273" t="str">
        <f t="shared" si="64"/>
        <v/>
      </c>
      <c r="K273" t="e">
        <f t="shared" si="65"/>
        <v>#N/A</v>
      </c>
      <c r="L273">
        <f t="shared" si="61"/>
        <v>-192.47</v>
      </c>
      <c r="M273" t="str">
        <f t="shared" si="66"/>
        <v/>
      </c>
      <c r="N273" t="e">
        <f t="shared" si="67"/>
        <v>#N/A</v>
      </c>
      <c r="P273">
        <f t="shared" si="62"/>
        <v>2</v>
      </c>
      <c r="Q273" t="str">
        <f t="shared" ca="1" si="68"/>
        <v/>
      </c>
      <c r="R273" t="str">
        <f t="shared" ca="1" si="63"/>
        <v/>
      </c>
      <c r="T273">
        <f t="shared" si="69"/>
        <v>0</v>
      </c>
      <c r="V273">
        <v>2</v>
      </c>
      <c r="W273" t="str">
        <f t="shared" si="59"/>
        <v/>
      </c>
    </row>
    <row r="274" spans="1:23" outlineLevel="2" x14ac:dyDescent="0.3">
      <c r="A274">
        <v>-190.22</v>
      </c>
      <c r="I274" t="str">
        <f t="shared" si="60"/>
        <v/>
      </c>
      <c r="J274" t="str">
        <f t="shared" si="64"/>
        <v/>
      </c>
      <c r="K274" t="e">
        <f t="shared" si="65"/>
        <v>#N/A</v>
      </c>
      <c r="L274">
        <f t="shared" si="61"/>
        <v>-190.22</v>
      </c>
      <c r="M274" t="str">
        <f t="shared" si="66"/>
        <v/>
      </c>
      <c r="N274" t="e">
        <f t="shared" si="67"/>
        <v>#N/A</v>
      </c>
      <c r="P274">
        <f t="shared" si="62"/>
        <v>2</v>
      </c>
      <c r="Q274" t="str">
        <f t="shared" ca="1" si="68"/>
        <v/>
      </c>
      <c r="R274" t="str">
        <f t="shared" ca="1" si="63"/>
        <v/>
      </c>
      <c r="T274">
        <f t="shared" si="69"/>
        <v>0</v>
      </c>
      <c r="V274">
        <v>2</v>
      </c>
      <c r="W274" t="str">
        <f t="shared" si="59"/>
        <v/>
      </c>
    </row>
    <row r="275" spans="1:23" outlineLevel="2" x14ac:dyDescent="0.3">
      <c r="A275">
        <v>-178.24</v>
      </c>
      <c r="I275" t="str">
        <f t="shared" si="60"/>
        <v/>
      </c>
      <c r="J275" t="str">
        <f t="shared" si="64"/>
        <v/>
      </c>
      <c r="K275" t="e">
        <f t="shared" si="65"/>
        <v>#N/A</v>
      </c>
      <c r="L275">
        <f t="shared" si="61"/>
        <v>-178.24</v>
      </c>
      <c r="M275" t="str">
        <f t="shared" si="66"/>
        <v/>
      </c>
      <c r="N275" t="e">
        <f t="shared" si="67"/>
        <v>#N/A</v>
      </c>
      <c r="P275">
        <f t="shared" si="62"/>
        <v>2</v>
      </c>
      <c r="Q275" t="str">
        <f t="shared" ca="1" si="68"/>
        <v/>
      </c>
      <c r="R275" t="str">
        <f t="shared" ca="1" si="63"/>
        <v/>
      </c>
      <c r="T275">
        <f t="shared" si="69"/>
        <v>0</v>
      </c>
      <c r="V275">
        <v>2</v>
      </c>
      <c r="W275" t="str">
        <f t="shared" si="59"/>
        <v/>
      </c>
    </row>
    <row r="276" spans="1:23" outlineLevel="2" x14ac:dyDescent="0.3">
      <c r="A276">
        <v>-160.66</v>
      </c>
      <c r="I276" t="str">
        <f t="shared" si="60"/>
        <v/>
      </c>
      <c r="J276" t="str">
        <f t="shared" si="64"/>
        <v/>
      </c>
      <c r="K276" t="e">
        <f t="shared" si="65"/>
        <v>#N/A</v>
      </c>
      <c r="L276">
        <f t="shared" si="61"/>
        <v>-160.66</v>
      </c>
      <c r="M276" t="str">
        <f t="shared" si="66"/>
        <v/>
      </c>
      <c r="N276" t="e">
        <f t="shared" si="67"/>
        <v>#N/A</v>
      </c>
      <c r="P276">
        <f t="shared" si="62"/>
        <v>2</v>
      </c>
      <c r="Q276" t="str">
        <f t="shared" ca="1" si="68"/>
        <v/>
      </c>
      <c r="R276" t="str">
        <f t="shared" ca="1" si="63"/>
        <v/>
      </c>
      <c r="T276">
        <f t="shared" si="69"/>
        <v>0</v>
      </c>
      <c r="V276">
        <v>2</v>
      </c>
      <c r="W276" t="str">
        <f t="shared" si="59"/>
        <v/>
      </c>
    </row>
    <row r="277" spans="1:23" outlineLevel="2" x14ac:dyDescent="0.3">
      <c r="A277">
        <v>-140.43</v>
      </c>
      <c r="I277" t="str">
        <f t="shared" si="60"/>
        <v/>
      </c>
      <c r="J277" t="str">
        <f t="shared" si="64"/>
        <v/>
      </c>
      <c r="K277" t="e">
        <f t="shared" si="65"/>
        <v>#N/A</v>
      </c>
      <c r="L277">
        <f t="shared" si="61"/>
        <v>-140.43</v>
      </c>
      <c r="M277" t="str">
        <f t="shared" si="66"/>
        <v/>
      </c>
      <c r="N277" t="e">
        <f t="shared" si="67"/>
        <v>#N/A</v>
      </c>
      <c r="P277">
        <f t="shared" si="62"/>
        <v>2</v>
      </c>
      <c r="Q277" t="str">
        <f t="shared" ca="1" si="68"/>
        <v/>
      </c>
      <c r="R277" t="str">
        <f t="shared" ca="1" si="63"/>
        <v/>
      </c>
      <c r="T277">
        <f t="shared" si="69"/>
        <v>0</v>
      </c>
      <c r="V277">
        <v>2</v>
      </c>
      <c r="W277" t="str">
        <f t="shared" si="59"/>
        <v/>
      </c>
    </row>
    <row r="278" spans="1:23" outlineLevel="2" x14ac:dyDescent="0.3">
      <c r="A278">
        <v>-118.74</v>
      </c>
      <c r="I278" t="str">
        <f t="shared" si="60"/>
        <v/>
      </c>
      <c r="J278" t="str">
        <f t="shared" si="64"/>
        <v/>
      </c>
      <c r="K278" t="e">
        <f t="shared" si="65"/>
        <v>#N/A</v>
      </c>
      <c r="L278">
        <f t="shared" si="61"/>
        <v>-118.74</v>
      </c>
      <c r="M278" t="str">
        <f t="shared" si="66"/>
        <v/>
      </c>
      <c r="N278" t="e">
        <f t="shared" si="67"/>
        <v>#N/A</v>
      </c>
      <c r="P278">
        <f t="shared" si="62"/>
        <v>2</v>
      </c>
      <c r="Q278" t="str">
        <f t="shared" ca="1" si="68"/>
        <v/>
      </c>
      <c r="R278" t="str">
        <f t="shared" ca="1" si="63"/>
        <v/>
      </c>
      <c r="T278">
        <f t="shared" si="69"/>
        <v>0</v>
      </c>
      <c r="V278">
        <v>2</v>
      </c>
      <c r="W278" t="str">
        <f t="shared" si="59"/>
        <v/>
      </c>
    </row>
    <row r="279" spans="1:23" outlineLevel="2" x14ac:dyDescent="0.3">
      <c r="A279">
        <v>-95.31</v>
      </c>
      <c r="I279" t="str">
        <f t="shared" si="60"/>
        <v/>
      </c>
      <c r="J279" t="str">
        <f t="shared" si="64"/>
        <v/>
      </c>
      <c r="K279" t="e">
        <f t="shared" si="65"/>
        <v>#N/A</v>
      </c>
      <c r="L279">
        <f t="shared" si="61"/>
        <v>-95.31</v>
      </c>
      <c r="M279" t="str">
        <f t="shared" si="66"/>
        <v/>
      </c>
      <c r="N279" t="e">
        <f t="shared" si="67"/>
        <v>#N/A</v>
      </c>
      <c r="P279">
        <f t="shared" si="62"/>
        <v>2</v>
      </c>
      <c r="Q279" t="str">
        <f t="shared" ca="1" si="68"/>
        <v/>
      </c>
      <c r="R279" t="str">
        <f t="shared" ca="1" si="63"/>
        <v/>
      </c>
      <c r="T279">
        <f t="shared" si="69"/>
        <v>0</v>
      </c>
      <c r="V279">
        <v>2</v>
      </c>
      <c r="W279" t="str">
        <f t="shared" si="59"/>
        <v/>
      </c>
    </row>
    <row r="280" spans="1:23" outlineLevel="2" x14ac:dyDescent="0.3">
      <c r="A280">
        <v>-70.62</v>
      </c>
      <c r="I280" t="str">
        <f t="shared" si="60"/>
        <v/>
      </c>
      <c r="J280" t="str">
        <f t="shared" si="64"/>
        <v/>
      </c>
      <c r="K280" t="e">
        <f t="shared" si="65"/>
        <v>#N/A</v>
      </c>
      <c r="L280">
        <f t="shared" si="61"/>
        <v>-70.62</v>
      </c>
      <c r="M280" t="str">
        <f t="shared" si="66"/>
        <v/>
      </c>
      <c r="N280" t="e">
        <f t="shared" si="67"/>
        <v>#N/A</v>
      </c>
      <c r="P280">
        <f t="shared" si="62"/>
        <v>2</v>
      </c>
      <c r="Q280" t="str">
        <f t="shared" ca="1" si="68"/>
        <v/>
      </c>
      <c r="R280" t="str">
        <f t="shared" ca="1" si="63"/>
        <v/>
      </c>
      <c r="T280">
        <f t="shared" si="69"/>
        <v>0</v>
      </c>
      <c r="V280">
        <v>2</v>
      </c>
      <c r="W280" t="str">
        <f t="shared" si="59"/>
        <v/>
      </c>
    </row>
    <row r="281" spans="1:23" outlineLevel="2" x14ac:dyDescent="0.3">
      <c r="A281">
        <v>-47.48</v>
      </c>
      <c r="I281" t="str">
        <f t="shared" si="60"/>
        <v/>
      </c>
      <c r="J281" t="str">
        <f t="shared" si="64"/>
        <v/>
      </c>
      <c r="K281" t="e">
        <f t="shared" si="65"/>
        <v>#N/A</v>
      </c>
      <c r="L281">
        <f t="shared" si="61"/>
        <v>-47.48</v>
      </c>
      <c r="M281" t="str">
        <f t="shared" si="66"/>
        <v/>
      </c>
      <c r="N281" t="e">
        <f t="shared" si="67"/>
        <v>#N/A</v>
      </c>
      <c r="P281">
        <f t="shared" si="62"/>
        <v>2</v>
      </c>
      <c r="Q281" t="str">
        <f t="shared" ca="1" si="68"/>
        <v/>
      </c>
      <c r="R281" t="str">
        <f t="shared" ca="1" si="63"/>
        <v/>
      </c>
      <c r="T281">
        <f t="shared" si="69"/>
        <v>0</v>
      </c>
      <c r="V281">
        <v>2</v>
      </c>
      <c r="W281" t="str">
        <f t="shared" si="59"/>
        <v/>
      </c>
    </row>
    <row r="282" spans="1:23" outlineLevel="2" x14ac:dyDescent="0.3">
      <c r="A282">
        <v>-28.74</v>
      </c>
      <c r="I282" t="str">
        <f t="shared" si="60"/>
        <v/>
      </c>
      <c r="J282" t="str">
        <f>IF(AND(I283&gt;I282,I283&gt;I285,I283&gt;$D$5),I283,"")</f>
        <v/>
      </c>
      <c r="K282" t="e">
        <f t="shared" si="65"/>
        <v>#N/A</v>
      </c>
      <c r="L282">
        <f t="shared" si="61"/>
        <v>-28.74</v>
      </c>
      <c r="M282" t="str">
        <f>IF(AND(L283&lt;L282,L283&lt;L285,L283&lt;$G$5),L283,"")</f>
        <v/>
      </c>
      <c r="N282" t="e">
        <f t="shared" si="67"/>
        <v>#N/A</v>
      </c>
      <c r="P282">
        <f t="shared" si="62"/>
        <v>2</v>
      </c>
      <c r="Q282" t="str">
        <f t="shared" ca="1" si="68"/>
        <v/>
      </c>
      <c r="R282" t="str">
        <f t="shared" ca="1" si="63"/>
        <v/>
      </c>
      <c r="T282">
        <f t="shared" si="69"/>
        <v>0</v>
      </c>
      <c r="V282">
        <v>2</v>
      </c>
      <c r="W282" t="str">
        <f t="shared" si="59"/>
        <v/>
      </c>
    </row>
    <row r="283" spans="1:23" outlineLevel="2" x14ac:dyDescent="0.3">
      <c r="A283">
        <v>-15.15</v>
      </c>
      <c r="I283" t="str">
        <f t="shared" si="60"/>
        <v/>
      </c>
      <c r="J283" t="str">
        <f>IF(AND(I285&gt;I283,I285&gt;I286,I285&gt;$D$5),I285,"")</f>
        <v/>
      </c>
      <c r="K283" t="e">
        <f t="shared" si="65"/>
        <v>#N/A</v>
      </c>
      <c r="L283">
        <f t="shared" si="61"/>
        <v>-15.15</v>
      </c>
      <c r="M283" t="str">
        <f>IF(AND(L285&lt;L283,L285&lt;L286,L285&lt;$G$5),L285,"")</f>
        <v/>
      </c>
      <c r="N283" t="e">
        <f t="shared" si="67"/>
        <v>#N/A</v>
      </c>
      <c r="P283">
        <f t="shared" si="62"/>
        <v>2</v>
      </c>
      <c r="Q283">
        <f ca="1">IF(AND(A285&gt;=0,A283&lt;0),CELL("ROW",A285),IF(AND(A285&lt;0,A283&gt;=0),CELL("ROW",A285),""))</f>
        <v>285</v>
      </c>
      <c r="R283" t="str">
        <f t="shared" ca="1" si="63"/>
        <v>285</v>
      </c>
      <c r="T283">
        <f>S285-S283</f>
        <v>0</v>
      </c>
      <c r="V283">
        <v>2</v>
      </c>
      <c r="W283" t="str">
        <f t="shared" si="59"/>
        <v/>
      </c>
    </row>
    <row r="284" spans="1:23" outlineLevel="1" x14ac:dyDescent="0.3">
      <c r="O284" s="1" t="s">
        <v>27</v>
      </c>
      <c r="P284">
        <f>SUBTOTAL(3,P269:P283)</f>
        <v>15</v>
      </c>
      <c r="V284">
        <v>15</v>
      </c>
      <c r="W284">
        <f t="shared" si="59"/>
        <v>15</v>
      </c>
    </row>
    <row r="285" spans="1:23" outlineLevel="2" x14ac:dyDescent="0.3">
      <c r="A285">
        <v>15.53</v>
      </c>
      <c r="I285">
        <f t="shared" si="60"/>
        <v>15.53</v>
      </c>
      <c r="J285" t="str">
        <f t="shared" si="64"/>
        <v/>
      </c>
      <c r="K285" t="e">
        <f t="shared" ref="K285:K321" si="70">MATCH(J285,$A$1:$A$10041,0)</f>
        <v>#N/A</v>
      </c>
      <c r="L285" t="str">
        <f t="shared" si="61"/>
        <v/>
      </c>
      <c r="M285" t="str">
        <f t="shared" si="66"/>
        <v/>
      </c>
      <c r="N285" t="e">
        <f t="shared" ref="N285:N321" si="71">MATCH(M285,$A$1:$A$10041,0)</f>
        <v>#N/A</v>
      </c>
      <c r="P285">
        <f t="shared" si="62"/>
        <v>1</v>
      </c>
      <c r="Q285" t="str">
        <f t="shared" ca="1" si="68"/>
        <v/>
      </c>
      <c r="R285" t="str">
        <f t="shared" ca="1" si="63"/>
        <v/>
      </c>
      <c r="T285">
        <f t="shared" si="69"/>
        <v>0</v>
      </c>
      <c r="V285">
        <v>1</v>
      </c>
      <c r="W285" t="str">
        <f t="shared" si="59"/>
        <v/>
      </c>
    </row>
    <row r="286" spans="1:23" outlineLevel="2" x14ac:dyDescent="0.3">
      <c r="A286">
        <v>24.51</v>
      </c>
      <c r="I286">
        <f t="shared" si="60"/>
        <v>24.51</v>
      </c>
      <c r="J286" t="str">
        <f t="shared" si="64"/>
        <v/>
      </c>
      <c r="K286" t="e">
        <f t="shared" si="70"/>
        <v>#N/A</v>
      </c>
      <c r="L286" t="str">
        <f t="shared" si="61"/>
        <v/>
      </c>
      <c r="M286" t="str">
        <f t="shared" si="66"/>
        <v/>
      </c>
      <c r="N286" t="e">
        <f t="shared" si="71"/>
        <v>#N/A</v>
      </c>
      <c r="P286">
        <f t="shared" si="62"/>
        <v>1</v>
      </c>
      <c r="Q286" t="str">
        <f t="shared" ca="1" si="68"/>
        <v/>
      </c>
      <c r="R286" t="str">
        <f t="shared" ca="1" si="63"/>
        <v/>
      </c>
      <c r="T286">
        <f t="shared" si="69"/>
        <v>0</v>
      </c>
      <c r="V286">
        <v>1</v>
      </c>
      <c r="W286" t="str">
        <f t="shared" si="59"/>
        <v/>
      </c>
    </row>
    <row r="287" spans="1:23" outlineLevel="2" x14ac:dyDescent="0.3">
      <c r="A287">
        <v>32.200000000000003</v>
      </c>
      <c r="I287">
        <f t="shared" si="60"/>
        <v>32.200000000000003</v>
      </c>
      <c r="J287" t="str">
        <f t="shared" si="64"/>
        <v/>
      </c>
      <c r="K287" t="e">
        <f t="shared" si="70"/>
        <v>#N/A</v>
      </c>
      <c r="L287" t="str">
        <f t="shared" si="61"/>
        <v/>
      </c>
      <c r="M287" t="str">
        <f t="shared" si="66"/>
        <v/>
      </c>
      <c r="N287" t="e">
        <f t="shared" si="71"/>
        <v>#N/A</v>
      </c>
      <c r="P287">
        <f t="shared" si="62"/>
        <v>1</v>
      </c>
      <c r="Q287" t="str">
        <f t="shared" ca="1" si="68"/>
        <v/>
      </c>
      <c r="R287" t="str">
        <f t="shared" ca="1" si="63"/>
        <v/>
      </c>
      <c r="T287">
        <f t="shared" si="69"/>
        <v>0</v>
      </c>
      <c r="V287">
        <v>1</v>
      </c>
      <c r="W287" t="str">
        <f t="shared" si="59"/>
        <v/>
      </c>
    </row>
    <row r="288" spans="1:23" outlineLevel="2" x14ac:dyDescent="0.3">
      <c r="A288">
        <v>38.630000000000003</v>
      </c>
      <c r="I288">
        <f t="shared" si="60"/>
        <v>38.630000000000003</v>
      </c>
      <c r="J288" t="str">
        <f t="shared" si="64"/>
        <v/>
      </c>
      <c r="K288" t="e">
        <f t="shared" si="70"/>
        <v>#N/A</v>
      </c>
      <c r="L288" t="str">
        <f t="shared" si="61"/>
        <v/>
      </c>
      <c r="M288" t="str">
        <f t="shared" si="66"/>
        <v/>
      </c>
      <c r="N288" t="e">
        <f t="shared" si="71"/>
        <v>#N/A</v>
      </c>
      <c r="P288">
        <f t="shared" si="62"/>
        <v>1</v>
      </c>
      <c r="Q288" t="str">
        <f t="shared" ca="1" si="68"/>
        <v/>
      </c>
      <c r="R288" t="str">
        <f t="shared" ca="1" si="63"/>
        <v/>
      </c>
      <c r="T288">
        <f t="shared" si="69"/>
        <v>0</v>
      </c>
      <c r="V288">
        <v>1</v>
      </c>
      <c r="W288" t="str">
        <f t="shared" si="59"/>
        <v/>
      </c>
    </row>
    <row r="289" spans="1:23" outlineLevel="2" x14ac:dyDescent="0.3">
      <c r="A289">
        <v>43.17</v>
      </c>
      <c r="I289">
        <f t="shared" si="60"/>
        <v>43.17</v>
      </c>
      <c r="J289" t="str">
        <f t="shared" si="64"/>
        <v/>
      </c>
      <c r="K289" t="e">
        <f t="shared" si="70"/>
        <v>#N/A</v>
      </c>
      <c r="L289" t="str">
        <f t="shared" si="61"/>
        <v/>
      </c>
      <c r="M289" t="str">
        <f t="shared" si="66"/>
        <v/>
      </c>
      <c r="N289" t="e">
        <f t="shared" si="71"/>
        <v>#N/A</v>
      </c>
      <c r="P289">
        <f t="shared" si="62"/>
        <v>1</v>
      </c>
      <c r="Q289" t="str">
        <f t="shared" ca="1" si="68"/>
        <v/>
      </c>
      <c r="R289" t="str">
        <f t="shared" ca="1" si="63"/>
        <v/>
      </c>
      <c r="T289">
        <f t="shared" si="69"/>
        <v>0</v>
      </c>
      <c r="V289">
        <v>1</v>
      </c>
      <c r="W289" t="str">
        <f t="shared" si="59"/>
        <v/>
      </c>
    </row>
    <row r="290" spans="1:23" outlineLevel="2" x14ac:dyDescent="0.3">
      <c r="A290">
        <v>45.66</v>
      </c>
      <c r="I290">
        <f t="shared" si="60"/>
        <v>45.66</v>
      </c>
      <c r="J290" t="str">
        <f t="shared" si="64"/>
        <v/>
      </c>
      <c r="K290" t="e">
        <f t="shared" si="70"/>
        <v>#N/A</v>
      </c>
      <c r="L290" t="str">
        <f t="shared" si="61"/>
        <v/>
      </c>
      <c r="M290" t="str">
        <f t="shared" si="66"/>
        <v/>
      </c>
      <c r="N290" t="e">
        <f t="shared" si="71"/>
        <v>#N/A</v>
      </c>
      <c r="P290">
        <f t="shared" si="62"/>
        <v>1</v>
      </c>
      <c r="Q290" t="str">
        <f t="shared" ca="1" si="68"/>
        <v/>
      </c>
      <c r="R290" t="str">
        <f t="shared" ca="1" si="63"/>
        <v/>
      </c>
      <c r="T290">
        <f t="shared" si="69"/>
        <v>0</v>
      </c>
      <c r="V290">
        <v>1</v>
      </c>
      <c r="W290" t="str">
        <f t="shared" si="59"/>
        <v/>
      </c>
    </row>
    <row r="291" spans="1:23" outlineLevel="2" x14ac:dyDescent="0.3">
      <c r="A291">
        <v>46.05</v>
      </c>
      <c r="I291">
        <f t="shared" si="60"/>
        <v>46.05</v>
      </c>
      <c r="J291" t="str">
        <f t="shared" si="64"/>
        <v/>
      </c>
      <c r="K291" t="e">
        <f t="shared" si="70"/>
        <v>#N/A</v>
      </c>
      <c r="L291" t="str">
        <f t="shared" si="61"/>
        <v/>
      </c>
      <c r="M291" t="str">
        <f t="shared" si="66"/>
        <v/>
      </c>
      <c r="N291" t="e">
        <f t="shared" si="71"/>
        <v>#N/A</v>
      </c>
      <c r="P291">
        <f t="shared" si="62"/>
        <v>1</v>
      </c>
      <c r="Q291" t="str">
        <f t="shared" ca="1" si="68"/>
        <v/>
      </c>
      <c r="R291" t="str">
        <f t="shared" ca="1" si="63"/>
        <v/>
      </c>
      <c r="T291">
        <f t="shared" si="69"/>
        <v>0</v>
      </c>
      <c r="V291">
        <v>1</v>
      </c>
      <c r="W291" t="str">
        <f t="shared" si="59"/>
        <v/>
      </c>
    </row>
    <row r="292" spans="1:23" outlineLevel="2" x14ac:dyDescent="0.3">
      <c r="A292">
        <v>45.16</v>
      </c>
      <c r="I292">
        <f t="shared" si="60"/>
        <v>45.16</v>
      </c>
      <c r="J292" t="str">
        <f t="shared" si="64"/>
        <v/>
      </c>
      <c r="K292" t="e">
        <f t="shared" si="70"/>
        <v>#N/A</v>
      </c>
      <c r="L292" t="str">
        <f t="shared" si="61"/>
        <v/>
      </c>
      <c r="M292" t="str">
        <f t="shared" si="66"/>
        <v/>
      </c>
      <c r="N292" t="e">
        <f t="shared" si="71"/>
        <v>#N/A</v>
      </c>
      <c r="P292">
        <f t="shared" si="62"/>
        <v>1</v>
      </c>
      <c r="Q292" t="str">
        <f t="shared" ca="1" si="68"/>
        <v/>
      </c>
      <c r="R292" t="str">
        <f t="shared" ca="1" si="63"/>
        <v/>
      </c>
      <c r="T292">
        <f t="shared" si="69"/>
        <v>0</v>
      </c>
      <c r="V292">
        <v>1</v>
      </c>
      <c r="W292" t="str">
        <f t="shared" si="59"/>
        <v/>
      </c>
    </row>
    <row r="293" spans="1:23" outlineLevel="2" x14ac:dyDescent="0.3">
      <c r="A293">
        <v>44.5</v>
      </c>
      <c r="I293">
        <f t="shared" si="60"/>
        <v>44.5</v>
      </c>
      <c r="J293" t="str">
        <f t="shared" si="64"/>
        <v/>
      </c>
      <c r="K293" t="e">
        <f t="shared" si="70"/>
        <v>#N/A</v>
      </c>
      <c r="L293" t="str">
        <f t="shared" si="61"/>
        <v/>
      </c>
      <c r="M293" t="str">
        <f t="shared" si="66"/>
        <v/>
      </c>
      <c r="N293" t="e">
        <f t="shared" si="71"/>
        <v>#N/A</v>
      </c>
      <c r="P293">
        <f t="shared" si="62"/>
        <v>1</v>
      </c>
      <c r="Q293" t="str">
        <f t="shared" ca="1" si="68"/>
        <v/>
      </c>
      <c r="R293" t="str">
        <f t="shared" ca="1" si="63"/>
        <v/>
      </c>
      <c r="T293">
        <f t="shared" si="69"/>
        <v>0</v>
      </c>
      <c r="V293">
        <v>1</v>
      </c>
      <c r="W293" t="str">
        <f t="shared" si="59"/>
        <v/>
      </c>
    </row>
    <row r="294" spans="1:23" outlineLevel="2" x14ac:dyDescent="0.3">
      <c r="A294">
        <v>43.84</v>
      </c>
      <c r="I294">
        <f t="shared" si="60"/>
        <v>43.84</v>
      </c>
      <c r="J294" t="str">
        <f t="shared" si="64"/>
        <v/>
      </c>
      <c r="K294" t="e">
        <f t="shared" si="70"/>
        <v>#N/A</v>
      </c>
      <c r="L294" t="str">
        <f t="shared" si="61"/>
        <v/>
      </c>
      <c r="M294" t="str">
        <f t="shared" si="66"/>
        <v/>
      </c>
      <c r="N294" t="e">
        <f t="shared" si="71"/>
        <v>#N/A</v>
      </c>
      <c r="P294">
        <f t="shared" si="62"/>
        <v>1</v>
      </c>
      <c r="Q294" t="str">
        <f t="shared" ca="1" si="68"/>
        <v/>
      </c>
      <c r="R294" t="str">
        <f t="shared" ca="1" si="63"/>
        <v/>
      </c>
      <c r="T294">
        <f t="shared" si="69"/>
        <v>0</v>
      </c>
      <c r="V294">
        <v>1</v>
      </c>
      <c r="W294" t="str">
        <f t="shared" si="59"/>
        <v/>
      </c>
    </row>
    <row r="295" spans="1:23" outlineLevel="2" x14ac:dyDescent="0.3">
      <c r="A295">
        <v>41.76</v>
      </c>
      <c r="I295">
        <f t="shared" si="60"/>
        <v>41.76</v>
      </c>
      <c r="J295" t="str">
        <f t="shared" si="64"/>
        <v/>
      </c>
      <c r="K295" t="e">
        <f t="shared" si="70"/>
        <v>#N/A</v>
      </c>
      <c r="L295" t="str">
        <f t="shared" si="61"/>
        <v/>
      </c>
      <c r="M295" t="str">
        <f t="shared" si="66"/>
        <v/>
      </c>
      <c r="N295" t="e">
        <f t="shared" si="71"/>
        <v>#N/A</v>
      </c>
      <c r="P295">
        <f t="shared" si="62"/>
        <v>1</v>
      </c>
      <c r="Q295" t="str">
        <f t="shared" ca="1" si="68"/>
        <v/>
      </c>
      <c r="R295" t="str">
        <f t="shared" ca="1" si="63"/>
        <v/>
      </c>
      <c r="T295">
        <f t="shared" si="69"/>
        <v>0</v>
      </c>
      <c r="V295">
        <v>1</v>
      </c>
      <c r="W295" t="str">
        <f t="shared" si="59"/>
        <v/>
      </c>
    </row>
    <row r="296" spans="1:23" outlineLevel="2" x14ac:dyDescent="0.3">
      <c r="A296">
        <v>38.82</v>
      </c>
      <c r="I296">
        <f t="shared" si="60"/>
        <v>38.82</v>
      </c>
      <c r="J296" t="str">
        <f t="shared" si="64"/>
        <v/>
      </c>
      <c r="K296" t="e">
        <f t="shared" si="70"/>
        <v>#N/A</v>
      </c>
      <c r="L296" t="str">
        <f t="shared" si="61"/>
        <v/>
      </c>
      <c r="M296" t="str">
        <f t="shared" si="66"/>
        <v/>
      </c>
      <c r="N296" t="e">
        <f t="shared" si="71"/>
        <v>#N/A</v>
      </c>
      <c r="P296">
        <f t="shared" si="62"/>
        <v>1</v>
      </c>
      <c r="Q296" t="str">
        <f t="shared" ca="1" si="68"/>
        <v/>
      </c>
      <c r="R296" t="str">
        <f t="shared" ca="1" si="63"/>
        <v/>
      </c>
      <c r="T296">
        <f t="shared" si="69"/>
        <v>0</v>
      </c>
      <c r="V296">
        <v>1</v>
      </c>
      <c r="W296" t="str">
        <f t="shared" si="59"/>
        <v/>
      </c>
    </row>
    <row r="297" spans="1:23" outlineLevel="2" x14ac:dyDescent="0.3">
      <c r="A297">
        <v>36.869999999999997</v>
      </c>
      <c r="I297">
        <f t="shared" si="60"/>
        <v>36.869999999999997</v>
      </c>
      <c r="J297" t="str">
        <f t="shared" si="64"/>
        <v/>
      </c>
      <c r="K297" t="e">
        <f t="shared" si="70"/>
        <v>#N/A</v>
      </c>
      <c r="L297" t="str">
        <f t="shared" si="61"/>
        <v/>
      </c>
      <c r="M297" t="str">
        <f t="shared" si="66"/>
        <v/>
      </c>
      <c r="N297" t="e">
        <f t="shared" si="71"/>
        <v>#N/A</v>
      </c>
      <c r="P297">
        <f t="shared" si="62"/>
        <v>1</v>
      </c>
      <c r="Q297" t="str">
        <f t="shared" ca="1" si="68"/>
        <v/>
      </c>
      <c r="R297" t="str">
        <f t="shared" ca="1" si="63"/>
        <v/>
      </c>
      <c r="T297">
        <f t="shared" si="69"/>
        <v>0</v>
      </c>
      <c r="V297">
        <v>1</v>
      </c>
      <c r="W297" t="str">
        <f t="shared" si="59"/>
        <v/>
      </c>
    </row>
    <row r="298" spans="1:23" outlineLevel="2" x14ac:dyDescent="0.3">
      <c r="A298">
        <v>35.67</v>
      </c>
      <c r="I298">
        <f t="shared" si="60"/>
        <v>35.67</v>
      </c>
      <c r="J298" t="str">
        <f t="shared" si="64"/>
        <v/>
      </c>
      <c r="K298" t="e">
        <f t="shared" si="70"/>
        <v>#N/A</v>
      </c>
      <c r="L298" t="str">
        <f t="shared" si="61"/>
        <v/>
      </c>
      <c r="M298" t="str">
        <f t="shared" si="66"/>
        <v/>
      </c>
      <c r="N298" t="e">
        <f t="shared" si="71"/>
        <v>#N/A</v>
      </c>
      <c r="P298">
        <f t="shared" si="62"/>
        <v>1</v>
      </c>
      <c r="Q298" t="str">
        <f t="shared" ca="1" si="68"/>
        <v/>
      </c>
      <c r="R298" t="str">
        <f t="shared" ca="1" si="63"/>
        <v/>
      </c>
      <c r="T298">
        <f t="shared" si="69"/>
        <v>0</v>
      </c>
      <c r="V298">
        <v>1</v>
      </c>
      <c r="W298" t="str">
        <f t="shared" si="59"/>
        <v/>
      </c>
    </row>
    <row r="299" spans="1:23" outlineLevel="2" x14ac:dyDescent="0.3">
      <c r="A299">
        <v>34.03</v>
      </c>
      <c r="I299">
        <f t="shared" si="60"/>
        <v>34.03</v>
      </c>
      <c r="J299" t="str">
        <f t="shared" si="64"/>
        <v/>
      </c>
      <c r="K299" t="e">
        <f t="shared" si="70"/>
        <v>#N/A</v>
      </c>
      <c r="L299" t="str">
        <f t="shared" si="61"/>
        <v/>
      </c>
      <c r="M299" t="str">
        <f t="shared" si="66"/>
        <v/>
      </c>
      <c r="N299" t="e">
        <f t="shared" si="71"/>
        <v>#N/A</v>
      </c>
      <c r="P299">
        <f t="shared" si="62"/>
        <v>1</v>
      </c>
      <c r="Q299" t="str">
        <f t="shared" ca="1" si="68"/>
        <v/>
      </c>
      <c r="R299" t="str">
        <f t="shared" ca="1" si="63"/>
        <v/>
      </c>
      <c r="T299">
        <f t="shared" si="69"/>
        <v>0</v>
      </c>
      <c r="V299">
        <v>1</v>
      </c>
      <c r="W299" t="str">
        <f t="shared" si="59"/>
        <v/>
      </c>
    </row>
    <row r="300" spans="1:23" outlineLevel="2" x14ac:dyDescent="0.3">
      <c r="A300">
        <v>31.83</v>
      </c>
      <c r="I300">
        <f t="shared" si="60"/>
        <v>31.83</v>
      </c>
      <c r="J300" t="str">
        <f t="shared" si="64"/>
        <v/>
      </c>
      <c r="K300" t="e">
        <f t="shared" si="70"/>
        <v>#N/A</v>
      </c>
      <c r="L300" t="str">
        <f t="shared" si="61"/>
        <v/>
      </c>
      <c r="M300" t="str">
        <f t="shared" si="66"/>
        <v/>
      </c>
      <c r="N300" t="e">
        <f t="shared" si="71"/>
        <v>#N/A</v>
      </c>
      <c r="P300">
        <f t="shared" si="62"/>
        <v>1</v>
      </c>
      <c r="Q300" t="str">
        <f t="shared" ca="1" si="68"/>
        <v/>
      </c>
      <c r="R300" t="str">
        <f t="shared" ca="1" si="63"/>
        <v/>
      </c>
      <c r="T300">
        <f t="shared" si="69"/>
        <v>0</v>
      </c>
      <c r="V300">
        <v>1</v>
      </c>
      <c r="W300" t="str">
        <f t="shared" si="59"/>
        <v/>
      </c>
    </row>
    <row r="301" spans="1:23" outlineLevel="2" x14ac:dyDescent="0.3">
      <c r="A301">
        <v>29.88</v>
      </c>
      <c r="I301">
        <f t="shared" si="60"/>
        <v>29.88</v>
      </c>
      <c r="J301" t="str">
        <f t="shared" si="64"/>
        <v/>
      </c>
      <c r="K301" t="e">
        <f t="shared" si="70"/>
        <v>#N/A</v>
      </c>
      <c r="L301" t="str">
        <f t="shared" si="61"/>
        <v/>
      </c>
      <c r="M301" t="str">
        <f t="shared" si="66"/>
        <v/>
      </c>
      <c r="N301" t="e">
        <f t="shared" si="71"/>
        <v>#N/A</v>
      </c>
      <c r="P301">
        <f t="shared" si="62"/>
        <v>1</v>
      </c>
      <c r="Q301" t="str">
        <f t="shared" ca="1" si="68"/>
        <v/>
      </c>
      <c r="R301" t="str">
        <f t="shared" ca="1" si="63"/>
        <v/>
      </c>
      <c r="T301">
        <f t="shared" si="69"/>
        <v>0</v>
      </c>
      <c r="V301">
        <v>1</v>
      </c>
      <c r="W301" t="str">
        <f t="shared" si="59"/>
        <v/>
      </c>
    </row>
    <row r="302" spans="1:23" outlineLevel="2" x14ac:dyDescent="0.3">
      <c r="A302">
        <v>28.82</v>
      </c>
      <c r="I302">
        <f t="shared" si="60"/>
        <v>28.82</v>
      </c>
      <c r="J302" t="str">
        <f t="shared" si="64"/>
        <v/>
      </c>
      <c r="K302" t="e">
        <f t="shared" si="70"/>
        <v>#N/A</v>
      </c>
      <c r="L302" t="str">
        <f t="shared" si="61"/>
        <v/>
      </c>
      <c r="M302" t="str">
        <f t="shared" si="66"/>
        <v/>
      </c>
      <c r="N302" t="e">
        <f t="shared" si="71"/>
        <v>#N/A</v>
      </c>
      <c r="P302">
        <f t="shared" si="62"/>
        <v>1</v>
      </c>
      <c r="Q302" t="str">
        <f t="shared" ca="1" si="68"/>
        <v/>
      </c>
      <c r="R302" t="str">
        <f t="shared" ca="1" si="63"/>
        <v/>
      </c>
      <c r="T302">
        <f t="shared" si="69"/>
        <v>0</v>
      </c>
      <c r="V302">
        <v>1</v>
      </c>
      <c r="W302" t="str">
        <f t="shared" si="59"/>
        <v/>
      </c>
    </row>
    <row r="303" spans="1:23" outlineLevel="2" x14ac:dyDescent="0.3">
      <c r="A303">
        <v>28.06</v>
      </c>
      <c r="I303">
        <f t="shared" si="60"/>
        <v>28.06</v>
      </c>
      <c r="J303" t="str">
        <f t="shared" si="64"/>
        <v/>
      </c>
      <c r="K303" t="e">
        <f t="shared" si="70"/>
        <v>#N/A</v>
      </c>
      <c r="L303" t="str">
        <f t="shared" si="61"/>
        <v/>
      </c>
      <c r="M303" t="str">
        <f t="shared" si="66"/>
        <v/>
      </c>
      <c r="N303" t="e">
        <f t="shared" si="71"/>
        <v>#N/A</v>
      </c>
      <c r="P303">
        <f t="shared" si="62"/>
        <v>1</v>
      </c>
      <c r="Q303" t="str">
        <f t="shared" ca="1" si="68"/>
        <v/>
      </c>
      <c r="R303" t="str">
        <f t="shared" ca="1" si="63"/>
        <v/>
      </c>
      <c r="T303">
        <f t="shared" si="69"/>
        <v>0</v>
      </c>
      <c r="V303">
        <v>1</v>
      </c>
      <c r="W303" t="str">
        <f t="shared" si="59"/>
        <v/>
      </c>
    </row>
    <row r="304" spans="1:23" outlineLevel="2" x14ac:dyDescent="0.3">
      <c r="A304">
        <v>27.26</v>
      </c>
      <c r="I304">
        <f t="shared" si="60"/>
        <v>27.26</v>
      </c>
      <c r="J304" t="str">
        <f t="shared" si="64"/>
        <v/>
      </c>
      <c r="K304" t="e">
        <f t="shared" si="70"/>
        <v>#N/A</v>
      </c>
      <c r="L304" t="str">
        <f t="shared" si="61"/>
        <v/>
      </c>
      <c r="M304" t="str">
        <f t="shared" si="66"/>
        <v/>
      </c>
      <c r="N304" t="e">
        <f t="shared" si="71"/>
        <v>#N/A</v>
      </c>
      <c r="P304">
        <f t="shared" si="62"/>
        <v>1</v>
      </c>
      <c r="Q304" t="str">
        <f t="shared" ca="1" si="68"/>
        <v/>
      </c>
      <c r="R304" t="str">
        <f t="shared" ca="1" si="63"/>
        <v/>
      </c>
      <c r="T304">
        <f t="shared" si="69"/>
        <v>0</v>
      </c>
      <c r="V304">
        <v>1</v>
      </c>
      <c r="W304" t="str">
        <f t="shared" si="59"/>
        <v/>
      </c>
    </row>
    <row r="305" spans="1:23" outlineLevel="2" x14ac:dyDescent="0.3">
      <c r="A305">
        <v>27.7</v>
      </c>
      <c r="I305">
        <f t="shared" si="60"/>
        <v>27.7</v>
      </c>
      <c r="J305" t="str">
        <f t="shared" si="64"/>
        <v/>
      </c>
      <c r="K305" t="e">
        <f t="shared" si="70"/>
        <v>#N/A</v>
      </c>
      <c r="L305" t="str">
        <f t="shared" si="61"/>
        <v/>
      </c>
      <c r="M305" t="str">
        <f t="shared" si="66"/>
        <v/>
      </c>
      <c r="N305" t="e">
        <f t="shared" si="71"/>
        <v>#N/A</v>
      </c>
      <c r="P305">
        <f t="shared" si="62"/>
        <v>1</v>
      </c>
      <c r="Q305" t="str">
        <f t="shared" ca="1" si="68"/>
        <v/>
      </c>
      <c r="R305" t="str">
        <f t="shared" ca="1" si="63"/>
        <v/>
      </c>
      <c r="T305">
        <f t="shared" si="69"/>
        <v>0</v>
      </c>
      <c r="V305">
        <v>1</v>
      </c>
      <c r="W305" t="str">
        <f t="shared" si="59"/>
        <v/>
      </c>
    </row>
    <row r="306" spans="1:23" outlineLevel="2" x14ac:dyDescent="0.3">
      <c r="A306">
        <v>29.66</v>
      </c>
      <c r="I306">
        <f t="shared" si="60"/>
        <v>29.66</v>
      </c>
      <c r="J306" t="str">
        <f t="shared" si="64"/>
        <v/>
      </c>
      <c r="K306" t="e">
        <f t="shared" si="70"/>
        <v>#N/A</v>
      </c>
      <c r="L306" t="str">
        <f t="shared" si="61"/>
        <v/>
      </c>
      <c r="M306" t="str">
        <f t="shared" si="66"/>
        <v/>
      </c>
      <c r="N306" t="e">
        <f t="shared" si="71"/>
        <v>#N/A</v>
      </c>
      <c r="P306">
        <f t="shared" si="62"/>
        <v>1</v>
      </c>
      <c r="Q306" t="str">
        <f t="shared" ca="1" si="68"/>
        <v/>
      </c>
      <c r="R306" t="str">
        <f t="shared" ca="1" si="63"/>
        <v/>
      </c>
      <c r="T306">
        <f t="shared" si="69"/>
        <v>0</v>
      </c>
      <c r="V306">
        <v>1</v>
      </c>
      <c r="W306" t="str">
        <f t="shared" si="59"/>
        <v/>
      </c>
    </row>
    <row r="307" spans="1:23" outlineLevel="2" x14ac:dyDescent="0.3">
      <c r="A307">
        <v>31.05</v>
      </c>
      <c r="I307">
        <f t="shared" si="60"/>
        <v>31.05</v>
      </c>
      <c r="J307" t="str">
        <f t="shared" si="64"/>
        <v/>
      </c>
      <c r="K307" t="e">
        <f t="shared" si="70"/>
        <v>#N/A</v>
      </c>
      <c r="L307" t="str">
        <f t="shared" si="61"/>
        <v/>
      </c>
      <c r="M307" t="str">
        <f t="shared" si="66"/>
        <v/>
      </c>
      <c r="N307" t="e">
        <f t="shared" si="71"/>
        <v>#N/A</v>
      </c>
      <c r="P307">
        <f t="shared" si="62"/>
        <v>1</v>
      </c>
      <c r="Q307" t="str">
        <f t="shared" ca="1" si="68"/>
        <v/>
      </c>
      <c r="R307" t="str">
        <f t="shared" ca="1" si="63"/>
        <v/>
      </c>
      <c r="T307">
        <f t="shared" si="69"/>
        <v>0</v>
      </c>
      <c r="V307">
        <v>1</v>
      </c>
      <c r="W307" t="str">
        <f t="shared" si="59"/>
        <v/>
      </c>
    </row>
    <row r="308" spans="1:23" outlineLevel="2" x14ac:dyDescent="0.3">
      <c r="A308">
        <v>31.46</v>
      </c>
      <c r="I308">
        <f t="shared" si="60"/>
        <v>31.46</v>
      </c>
      <c r="J308" t="str">
        <f t="shared" si="64"/>
        <v/>
      </c>
      <c r="K308" t="e">
        <f t="shared" si="70"/>
        <v>#N/A</v>
      </c>
      <c r="L308" t="str">
        <f t="shared" si="61"/>
        <v/>
      </c>
      <c r="M308" t="str">
        <f t="shared" si="66"/>
        <v/>
      </c>
      <c r="N308" t="e">
        <f t="shared" si="71"/>
        <v>#N/A</v>
      </c>
      <c r="P308">
        <f t="shared" si="62"/>
        <v>1</v>
      </c>
      <c r="Q308" t="str">
        <f t="shared" ca="1" si="68"/>
        <v/>
      </c>
      <c r="R308" t="str">
        <f t="shared" ca="1" si="63"/>
        <v/>
      </c>
      <c r="T308">
        <f t="shared" si="69"/>
        <v>0</v>
      </c>
      <c r="V308">
        <v>1</v>
      </c>
      <c r="W308" t="str">
        <f t="shared" si="59"/>
        <v/>
      </c>
    </row>
    <row r="309" spans="1:23" outlineLevel="2" x14ac:dyDescent="0.3">
      <c r="A309">
        <v>31.81</v>
      </c>
      <c r="I309">
        <f t="shared" si="60"/>
        <v>31.81</v>
      </c>
      <c r="J309" t="str">
        <f t="shared" si="64"/>
        <v/>
      </c>
      <c r="K309" t="e">
        <f t="shared" si="70"/>
        <v>#N/A</v>
      </c>
      <c r="L309" t="str">
        <f t="shared" si="61"/>
        <v/>
      </c>
      <c r="M309" t="str">
        <f t="shared" si="66"/>
        <v/>
      </c>
      <c r="N309" t="e">
        <f t="shared" si="71"/>
        <v>#N/A</v>
      </c>
      <c r="P309">
        <f t="shared" si="62"/>
        <v>1</v>
      </c>
      <c r="Q309" t="str">
        <f t="shared" ca="1" si="68"/>
        <v/>
      </c>
      <c r="R309" t="str">
        <f t="shared" ca="1" si="63"/>
        <v/>
      </c>
      <c r="T309">
        <f t="shared" si="69"/>
        <v>0</v>
      </c>
      <c r="V309">
        <v>1</v>
      </c>
      <c r="W309" t="str">
        <f t="shared" si="59"/>
        <v/>
      </c>
    </row>
    <row r="310" spans="1:23" outlineLevel="2" x14ac:dyDescent="0.3">
      <c r="A310">
        <v>30.93</v>
      </c>
      <c r="I310">
        <f t="shared" si="60"/>
        <v>30.93</v>
      </c>
      <c r="J310" t="str">
        <f t="shared" si="64"/>
        <v/>
      </c>
      <c r="K310" t="e">
        <f t="shared" si="70"/>
        <v>#N/A</v>
      </c>
      <c r="L310" t="str">
        <f t="shared" si="61"/>
        <v/>
      </c>
      <c r="M310" t="str">
        <f t="shared" si="66"/>
        <v/>
      </c>
      <c r="N310" t="e">
        <f t="shared" si="71"/>
        <v>#N/A</v>
      </c>
      <c r="P310">
        <f t="shared" si="62"/>
        <v>1</v>
      </c>
      <c r="Q310" t="str">
        <f t="shared" ca="1" si="68"/>
        <v/>
      </c>
      <c r="R310" t="str">
        <f t="shared" ca="1" si="63"/>
        <v/>
      </c>
      <c r="T310">
        <f t="shared" si="69"/>
        <v>0</v>
      </c>
      <c r="V310">
        <v>1</v>
      </c>
      <c r="W310" t="str">
        <f t="shared" si="59"/>
        <v/>
      </c>
    </row>
    <row r="311" spans="1:23" outlineLevel="2" x14ac:dyDescent="0.3">
      <c r="A311">
        <v>28.22</v>
      </c>
      <c r="I311">
        <f t="shared" si="60"/>
        <v>28.22</v>
      </c>
      <c r="J311" t="str">
        <f t="shared" si="64"/>
        <v/>
      </c>
      <c r="K311" t="e">
        <f t="shared" si="70"/>
        <v>#N/A</v>
      </c>
      <c r="L311" t="str">
        <f t="shared" si="61"/>
        <v/>
      </c>
      <c r="M311" t="str">
        <f t="shared" si="66"/>
        <v/>
      </c>
      <c r="N311" t="e">
        <f t="shared" si="71"/>
        <v>#N/A</v>
      </c>
      <c r="P311">
        <f t="shared" si="62"/>
        <v>1</v>
      </c>
      <c r="Q311" t="str">
        <f t="shared" ca="1" si="68"/>
        <v/>
      </c>
      <c r="R311" t="str">
        <f t="shared" ca="1" si="63"/>
        <v/>
      </c>
      <c r="T311">
        <f t="shared" si="69"/>
        <v>0</v>
      </c>
      <c r="V311">
        <v>1</v>
      </c>
      <c r="W311" t="str">
        <f t="shared" si="59"/>
        <v/>
      </c>
    </row>
    <row r="312" spans="1:23" outlineLevel="2" x14ac:dyDescent="0.3">
      <c r="A312">
        <v>23.66</v>
      </c>
      <c r="I312">
        <f t="shared" si="60"/>
        <v>23.66</v>
      </c>
      <c r="J312" t="str">
        <f t="shared" si="64"/>
        <v/>
      </c>
      <c r="K312" t="e">
        <f t="shared" si="70"/>
        <v>#N/A</v>
      </c>
      <c r="L312" t="str">
        <f t="shared" si="61"/>
        <v/>
      </c>
      <c r="M312" t="str">
        <f t="shared" si="66"/>
        <v/>
      </c>
      <c r="N312" t="e">
        <f t="shared" si="71"/>
        <v>#N/A</v>
      </c>
      <c r="P312">
        <f t="shared" si="62"/>
        <v>1</v>
      </c>
      <c r="Q312" t="str">
        <f t="shared" ca="1" si="68"/>
        <v/>
      </c>
      <c r="R312" t="str">
        <f t="shared" ca="1" si="63"/>
        <v/>
      </c>
      <c r="T312">
        <f t="shared" si="69"/>
        <v>0</v>
      </c>
      <c r="V312">
        <v>1</v>
      </c>
      <c r="W312" t="str">
        <f t="shared" si="59"/>
        <v/>
      </c>
    </row>
    <row r="313" spans="1:23" outlineLevel="2" x14ac:dyDescent="0.3">
      <c r="A313">
        <v>17.329999999999998</v>
      </c>
      <c r="I313">
        <f t="shared" si="60"/>
        <v>17.329999999999998</v>
      </c>
      <c r="J313" t="str">
        <f t="shared" si="64"/>
        <v/>
      </c>
      <c r="K313" t="e">
        <f t="shared" si="70"/>
        <v>#N/A</v>
      </c>
      <c r="L313" t="str">
        <f t="shared" si="61"/>
        <v/>
      </c>
      <c r="M313" t="str">
        <f t="shared" si="66"/>
        <v/>
      </c>
      <c r="N313" t="e">
        <f t="shared" si="71"/>
        <v>#N/A</v>
      </c>
      <c r="P313">
        <f t="shared" si="62"/>
        <v>1</v>
      </c>
      <c r="Q313" t="str">
        <f t="shared" ca="1" si="68"/>
        <v/>
      </c>
      <c r="R313" t="str">
        <f t="shared" ca="1" si="63"/>
        <v/>
      </c>
      <c r="T313">
        <f t="shared" si="69"/>
        <v>0</v>
      </c>
      <c r="V313">
        <v>1</v>
      </c>
      <c r="W313" t="str">
        <f t="shared" si="59"/>
        <v/>
      </c>
    </row>
    <row r="314" spans="1:23" outlineLevel="2" x14ac:dyDescent="0.3">
      <c r="A314">
        <v>11.97</v>
      </c>
      <c r="I314">
        <f t="shared" si="60"/>
        <v>11.97</v>
      </c>
      <c r="J314" t="str">
        <f t="shared" si="64"/>
        <v/>
      </c>
      <c r="K314" t="e">
        <f t="shared" si="70"/>
        <v>#N/A</v>
      </c>
      <c r="L314" t="str">
        <f t="shared" si="61"/>
        <v/>
      </c>
      <c r="M314" t="str">
        <f t="shared" si="66"/>
        <v/>
      </c>
      <c r="N314" t="e">
        <f t="shared" si="71"/>
        <v>#N/A</v>
      </c>
      <c r="P314">
        <f t="shared" si="62"/>
        <v>1</v>
      </c>
      <c r="Q314" t="str">
        <f t="shared" ca="1" si="68"/>
        <v/>
      </c>
      <c r="R314" t="str">
        <f t="shared" ca="1" si="63"/>
        <v/>
      </c>
      <c r="T314">
        <f t="shared" si="69"/>
        <v>0</v>
      </c>
      <c r="V314">
        <v>1</v>
      </c>
      <c r="W314" t="str">
        <f t="shared" si="59"/>
        <v/>
      </c>
    </row>
    <row r="315" spans="1:23" outlineLevel="2" x14ac:dyDescent="0.3">
      <c r="A315">
        <v>11.01</v>
      </c>
      <c r="I315">
        <f t="shared" si="60"/>
        <v>11.01</v>
      </c>
      <c r="J315" t="str">
        <f t="shared" si="64"/>
        <v/>
      </c>
      <c r="K315" t="e">
        <f t="shared" si="70"/>
        <v>#N/A</v>
      </c>
      <c r="L315" t="str">
        <f t="shared" si="61"/>
        <v/>
      </c>
      <c r="M315" t="str">
        <f t="shared" si="66"/>
        <v/>
      </c>
      <c r="N315" t="e">
        <f t="shared" si="71"/>
        <v>#N/A</v>
      </c>
      <c r="P315">
        <f t="shared" si="62"/>
        <v>1</v>
      </c>
      <c r="Q315" t="str">
        <f t="shared" ca="1" si="68"/>
        <v/>
      </c>
      <c r="R315" t="str">
        <f t="shared" ca="1" si="63"/>
        <v/>
      </c>
      <c r="T315">
        <f t="shared" si="69"/>
        <v>0</v>
      </c>
      <c r="V315">
        <v>1</v>
      </c>
      <c r="W315" t="str">
        <f t="shared" si="59"/>
        <v/>
      </c>
    </row>
    <row r="316" spans="1:23" outlineLevel="2" x14ac:dyDescent="0.3">
      <c r="A316">
        <v>12.8</v>
      </c>
      <c r="I316">
        <f t="shared" si="60"/>
        <v>12.8</v>
      </c>
      <c r="J316" t="str">
        <f t="shared" si="64"/>
        <v/>
      </c>
      <c r="K316" t="e">
        <f t="shared" si="70"/>
        <v>#N/A</v>
      </c>
      <c r="L316" t="str">
        <f t="shared" si="61"/>
        <v/>
      </c>
      <c r="M316" t="str">
        <f t="shared" si="66"/>
        <v/>
      </c>
      <c r="N316" t="e">
        <f t="shared" si="71"/>
        <v>#N/A</v>
      </c>
      <c r="P316">
        <f t="shared" si="62"/>
        <v>1</v>
      </c>
      <c r="Q316" t="str">
        <f t="shared" ca="1" si="68"/>
        <v/>
      </c>
      <c r="R316" t="str">
        <f t="shared" ca="1" si="63"/>
        <v/>
      </c>
      <c r="T316">
        <f t="shared" si="69"/>
        <v>0</v>
      </c>
      <c r="V316">
        <v>1</v>
      </c>
      <c r="W316" t="str">
        <f t="shared" si="59"/>
        <v/>
      </c>
    </row>
    <row r="317" spans="1:23" outlineLevel="2" x14ac:dyDescent="0.3">
      <c r="A317">
        <v>14.96</v>
      </c>
      <c r="I317">
        <f t="shared" si="60"/>
        <v>14.96</v>
      </c>
      <c r="J317" t="str">
        <f t="shared" si="64"/>
        <v/>
      </c>
      <c r="K317" t="e">
        <f t="shared" si="70"/>
        <v>#N/A</v>
      </c>
      <c r="L317" t="str">
        <f t="shared" si="61"/>
        <v/>
      </c>
      <c r="M317" t="str">
        <f t="shared" si="66"/>
        <v/>
      </c>
      <c r="N317" t="e">
        <f t="shared" si="71"/>
        <v>#N/A</v>
      </c>
      <c r="P317">
        <f t="shared" si="62"/>
        <v>1</v>
      </c>
      <c r="Q317" t="str">
        <f t="shared" ca="1" si="68"/>
        <v/>
      </c>
      <c r="R317" t="str">
        <f t="shared" ca="1" si="63"/>
        <v/>
      </c>
      <c r="T317">
        <f t="shared" si="69"/>
        <v>0</v>
      </c>
      <c r="V317">
        <v>1</v>
      </c>
      <c r="W317" t="str">
        <f t="shared" si="59"/>
        <v/>
      </c>
    </row>
    <row r="318" spans="1:23" outlineLevel="2" x14ac:dyDescent="0.3">
      <c r="A318">
        <v>17.62</v>
      </c>
      <c r="I318">
        <f t="shared" si="60"/>
        <v>17.62</v>
      </c>
      <c r="J318" t="str">
        <f t="shared" si="64"/>
        <v/>
      </c>
      <c r="K318" t="e">
        <f t="shared" si="70"/>
        <v>#N/A</v>
      </c>
      <c r="L318" t="str">
        <f t="shared" si="61"/>
        <v/>
      </c>
      <c r="M318" t="str">
        <f t="shared" si="66"/>
        <v/>
      </c>
      <c r="N318" t="e">
        <f t="shared" si="71"/>
        <v>#N/A</v>
      </c>
      <c r="P318">
        <f t="shared" si="62"/>
        <v>1</v>
      </c>
      <c r="Q318" t="str">
        <f t="shared" ca="1" si="68"/>
        <v/>
      </c>
      <c r="R318" t="str">
        <f t="shared" ca="1" si="63"/>
        <v/>
      </c>
      <c r="T318">
        <f t="shared" si="69"/>
        <v>0</v>
      </c>
      <c r="V318">
        <v>1</v>
      </c>
      <c r="W318" t="str">
        <f t="shared" si="59"/>
        <v/>
      </c>
    </row>
    <row r="319" spans="1:23" outlineLevel="2" x14ac:dyDescent="0.3">
      <c r="A319">
        <v>19.66</v>
      </c>
      <c r="I319">
        <f t="shared" si="60"/>
        <v>19.66</v>
      </c>
      <c r="J319" t="str">
        <f t="shared" si="64"/>
        <v/>
      </c>
      <c r="K319" t="e">
        <f t="shared" si="70"/>
        <v>#N/A</v>
      </c>
      <c r="L319" t="str">
        <f t="shared" si="61"/>
        <v/>
      </c>
      <c r="M319" t="str">
        <f t="shared" si="66"/>
        <v/>
      </c>
      <c r="N319" t="e">
        <f t="shared" si="71"/>
        <v>#N/A</v>
      </c>
      <c r="P319">
        <f t="shared" si="62"/>
        <v>1</v>
      </c>
      <c r="Q319" t="str">
        <f t="shared" ca="1" si="68"/>
        <v/>
      </c>
      <c r="R319" t="str">
        <f t="shared" ca="1" si="63"/>
        <v/>
      </c>
      <c r="T319">
        <f t="shared" si="69"/>
        <v>0</v>
      </c>
      <c r="V319">
        <v>1</v>
      </c>
      <c r="W319" t="str">
        <f t="shared" si="59"/>
        <v/>
      </c>
    </row>
    <row r="320" spans="1:23" outlineLevel="2" x14ac:dyDescent="0.3">
      <c r="A320">
        <v>18.55</v>
      </c>
      <c r="I320">
        <f t="shared" si="60"/>
        <v>18.55</v>
      </c>
      <c r="J320" t="str">
        <f>IF(AND(I321&gt;I320,I321&gt;I323,I321&gt;$D$5),I321,"")</f>
        <v/>
      </c>
      <c r="K320" t="e">
        <f t="shared" si="70"/>
        <v>#N/A</v>
      </c>
      <c r="L320" t="str">
        <f t="shared" si="61"/>
        <v/>
      </c>
      <c r="M320" t="str">
        <f>IF(AND(L321&lt;L320,L321&lt;L323,L321&lt;$G$5),L321,"")</f>
        <v/>
      </c>
      <c r="N320" t="e">
        <f t="shared" si="71"/>
        <v>#N/A</v>
      </c>
      <c r="P320">
        <f t="shared" si="62"/>
        <v>1</v>
      </c>
      <c r="Q320" t="str">
        <f t="shared" ca="1" si="68"/>
        <v/>
      </c>
      <c r="R320" t="str">
        <f t="shared" ca="1" si="63"/>
        <v/>
      </c>
      <c r="T320">
        <f t="shared" si="69"/>
        <v>0</v>
      </c>
      <c r="V320">
        <v>1</v>
      </c>
      <c r="W320" t="str">
        <f t="shared" si="59"/>
        <v/>
      </c>
    </row>
    <row r="321" spans="1:23" outlineLevel="2" x14ac:dyDescent="0.3">
      <c r="A321">
        <v>14.25</v>
      </c>
      <c r="I321">
        <f t="shared" si="60"/>
        <v>14.25</v>
      </c>
      <c r="J321" t="str">
        <f>IF(AND(I323&gt;I321,I323&gt;I324,I323&gt;$D$5),I323,"")</f>
        <v/>
      </c>
      <c r="K321" t="e">
        <f t="shared" si="70"/>
        <v>#N/A</v>
      </c>
      <c r="L321" t="str">
        <f t="shared" si="61"/>
        <v/>
      </c>
      <c r="M321" t="str">
        <f>IF(AND(L323&lt;L321,L323&lt;L324,L323&lt;$G$5),L323,"")</f>
        <v/>
      </c>
      <c r="N321" t="e">
        <f t="shared" si="71"/>
        <v>#N/A</v>
      </c>
      <c r="P321">
        <f t="shared" si="62"/>
        <v>1</v>
      </c>
      <c r="Q321">
        <f ca="1">IF(AND(A323&gt;=0,A321&lt;0),CELL("ROW",A323),IF(AND(A323&lt;0,A321&gt;=0),CELL("ROW",A323),""))</f>
        <v>323</v>
      </c>
      <c r="R321" t="str">
        <f t="shared" ca="1" si="63"/>
        <v>323</v>
      </c>
      <c r="T321">
        <f>S323-S321</f>
        <v>0</v>
      </c>
      <c r="V321">
        <v>1</v>
      </c>
      <c r="W321" t="str">
        <f t="shared" si="59"/>
        <v/>
      </c>
    </row>
    <row r="322" spans="1:23" outlineLevel="1" x14ac:dyDescent="0.3">
      <c r="O322" s="1" t="s">
        <v>26</v>
      </c>
      <c r="P322">
        <f>SUBTOTAL(3,P285:P321)</f>
        <v>37</v>
      </c>
      <c r="V322">
        <v>37</v>
      </c>
      <c r="W322" t="str">
        <f t="shared" si="59"/>
        <v/>
      </c>
    </row>
    <row r="323" spans="1:23" outlineLevel="2" x14ac:dyDescent="0.3">
      <c r="A323">
        <v>-13.63</v>
      </c>
      <c r="I323" t="str">
        <f t="shared" si="60"/>
        <v/>
      </c>
      <c r="J323" t="str">
        <f t="shared" si="64"/>
        <v/>
      </c>
      <c r="K323" t="e">
        <f t="shared" ref="K323:K349" si="72">MATCH(J323,$A$1:$A$10041,0)</f>
        <v>#N/A</v>
      </c>
      <c r="L323">
        <f t="shared" si="61"/>
        <v>-13.63</v>
      </c>
      <c r="M323" t="str">
        <f t="shared" si="66"/>
        <v/>
      </c>
      <c r="N323" t="e">
        <f t="shared" ref="N323:N349" si="73">MATCH(M323,$A$1:$A$10041,0)</f>
        <v>#N/A</v>
      </c>
      <c r="P323">
        <f t="shared" si="62"/>
        <v>2</v>
      </c>
      <c r="Q323" t="str">
        <f t="shared" ca="1" si="68"/>
        <v/>
      </c>
      <c r="R323" t="str">
        <f t="shared" ca="1" si="63"/>
        <v/>
      </c>
      <c r="T323">
        <f t="shared" si="69"/>
        <v>0</v>
      </c>
      <c r="V323">
        <v>2</v>
      </c>
      <c r="W323" t="str">
        <f t="shared" ref="W323:W386" si="74">IF(AND(V323&gt;2,V323&lt;20),V323,"")</f>
        <v/>
      </c>
    </row>
    <row r="324" spans="1:23" outlineLevel="2" x14ac:dyDescent="0.3">
      <c r="A324">
        <v>-13.67</v>
      </c>
      <c r="I324" t="str">
        <f t="shared" si="60"/>
        <v/>
      </c>
      <c r="J324" t="str">
        <f t="shared" si="64"/>
        <v/>
      </c>
      <c r="K324" t="e">
        <f t="shared" si="72"/>
        <v>#N/A</v>
      </c>
      <c r="L324">
        <f t="shared" si="61"/>
        <v>-13.67</v>
      </c>
      <c r="M324" t="str">
        <f t="shared" si="66"/>
        <v/>
      </c>
      <c r="N324" t="e">
        <f t="shared" si="73"/>
        <v>#N/A</v>
      </c>
      <c r="P324">
        <f t="shared" si="62"/>
        <v>2</v>
      </c>
      <c r="Q324" t="str">
        <f t="shared" ca="1" si="68"/>
        <v/>
      </c>
      <c r="R324" t="str">
        <f t="shared" ca="1" si="63"/>
        <v/>
      </c>
      <c r="T324">
        <f t="shared" si="69"/>
        <v>0</v>
      </c>
      <c r="V324">
        <v>2</v>
      </c>
      <c r="W324" t="str">
        <f t="shared" si="74"/>
        <v/>
      </c>
    </row>
    <row r="325" spans="1:23" outlineLevel="2" x14ac:dyDescent="0.3">
      <c r="A325">
        <v>-12.42</v>
      </c>
      <c r="I325" t="str">
        <f t="shared" si="60"/>
        <v/>
      </c>
      <c r="J325" t="str">
        <f t="shared" si="64"/>
        <v/>
      </c>
      <c r="K325" t="e">
        <f t="shared" si="72"/>
        <v>#N/A</v>
      </c>
      <c r="L325">
        <f t="shared" si="61"/>
        <v>-12.42</v>
      </c>
      <c r="M325" t="str">
        <f t="shared" si="66"/>
        <v/>
      </c>
      <c r="N325" t="e">
        <f t="shared" si="73"/>
        <v>#N/A</v>
      </c>
      <c r="P325">
        <f t="shared" si="62"/>
        <v>2</v>
      </c>
      <c r="Q325" t="str">
        <f t="shared" ca="1" si="68"/>
        <v/>
      </c>
      <c r="R325" t="str">
        <f t="shared" ca="1" si="63"/>
        <v/>
      </c>
      <c r="T325">
        <f t="shared" si="69"/>
        <v>0</v>
      </c>
      <c r="V325">
        <v>2</v>
      </c>
      <c r="W325" t="str">
        <f t="shared" si="74"/>
        <v/>
      </c>
    </row>
    <row r="326" spans="1:23" outlineLevel="2" x14ac:dyDescent="0.3">
      <c r="A326">
        <v>-14.9</v>
      </c>
      <c r="I326" t="str">
        <f t="shared" si="60"/>
        <v/>
      </c>
      <c r="J326" t="str">
        <f t="shared" si="64"/>
        <v/>
      </c>
      <c r="K326" t="e">
        <f t="shared" si="72"/>
        <v>#N/A</v>
      </c>
      <c r="L326">
        <f t="shared" si="61"/>
        <v>-14.9</v>
      </c>
      <c r="M326" t="str">
        <f t="shared" si="66"/>
        <v/>
      </c>
      <c r="N326" t="e">
        <f t="shared" si="73"/>
        <v>#N/A</v>
      </c>
      <c r="P326">
        <f t="shared" si="62"/>
        <v>2</v>
      </c>
      <c r="Q326" t="str">
        <f t="shared" ca="1" si="68"/>
        <v/>
      </c>
      <c r="R326" t="str">
        <f t="shared" ca="1" si="63"/>
        <v/>
      </c>
      <c r="T326">
        <f t="shared" si="69"/>
        <v>0</v>
      </c>
      <c r="V326">
        <v>2</v>
      </c>
      <c r="W326" t="str">
        <f t="shared" si="74"/>
        <v/>
      </c>
    </row>
    <row r="327" spans="1:23" outlineLevel="2" x14ac:dyDescent="0.3">
      <c r="A327">
        <v>-17.78</v>
      </c>
      <c r="I327" t="str">
        <f t="shared" si="60"/>
        <v/>
      </c>
      <c r="J327" t="str">
        <f t="shared" si="64"/>
        <v/>
      </c>
      <c r="K327" t="e">
        <f t="shared" si="72"/>
        <v>#N/A</v>
      </c>
      <c r="L327">
        <f t="shared" si="61"/>
        <v>-17.78</v>
      </c>
      <c r="M327" t="str">
        <f t="shared" si="66"/>
        <v/>
      </c>
      <c r="N327" t="e">
        <f t="shared" si="73"/>
        <v>#N/A</v>
      </c>
      <c r="P327">
        <f t="shared" si="62"/>
        <v>2</v>
      </c>
      <c r="Q327" t="str">
        <f t="shared" ca="1" si="68"/>
        <v/>
      </c>
      <c r="R327" t="str">
        <f t="shared" ca="1" si="63"/>
        <v/>
      </c>
      <c r="T327">
        <f t="shared" si="69"/>
        <v>0</v>
      </c>
      <c r="V327">
        <v>2</v>
      </c>
      <c r="W327" t="str">
        <f t="shared" si="74"/>
        <v/>
      </c>
    </row>
    <row r="328" spans="1:23" outlineLevel="2" x14ac:dyDescent="0.3">
      <c r="A328">
        <v>-18.11</v>
      </c>
      <c r="I328" t="str">
        <f t="shared" si="60"/>
        <v/>
      </c>
      <c r="J328" t="str">
        <f t="shared" si="64"/>
        <v/>
      </c>
      <c r="K328" t="e">
        <f t="shared" si="72"/>
        <v>#N/A</v>
      </c>
      <c r="L328">
        <f t="shared" si="61"/>
        <v>-18.11</v>
      </c>
      <c r="M328" t="str">
        <f t="shared" si="66"/>
        <v/>
      </c>
      <c r="N328" t="e">
        <f t="shared" si="73"/>
        <v>#N/A</v>
      </c>
      <c r="P328">
        <f t="shared" si="62"/>
        <v>2</v>
      </c>
      <c r="Q328" t="str">
        <f t="shared" ca="1" si="68"/>
        <v/>
      </c>
      <c r="R328" t="str">
        <f t="shared" ca="1" si="63"/>
        <v/>
      </c>
      <c r="T328">
        <f t="shared" si="69"/>
        <v>0</v>
      </c>
      <c r="V328">
        <v>2</v>
      </c>
      <c r="W328" t="str">
        <f t="shared" si="74"/>
        <v/>
      </c>
    </row>
    <row r="329" spans="1:23" outlineLevel="2" x14ac:dyDescent="0.3">
      <c r="A329">
        <v>-17.079999999999998</v>
      </c>
      <c r="I329" t="str">
        <f t="shared" si="60"/>
        <v/>
      </c>
      <c r="J329" t="str">
        <f t="shared" si="64"/>
        <v/>
      </c>
      <c r="K329" t="e">
        <f t="shared" si="72"/>
        <v>#N/A</v>
      </c>
      <c r="L329">
        <f t="shared" si="61"/>
        <v>-17.079999999999998</v>
      </c>
      <c r="M329" t="str">
        <f t="shared" si="66"/>
        <v/>
      </c>
      <c r="N329" t="e">
        <f t="shared" si="73"/>
        <v>#N/A</v>
      </c>
      <c r="P329">
        <f t="shared" si="62"/>
        <v>2</v>
      </c>
      <c r="Q329" t="str">
        <f t="shared" ca="1" si="68"/>
        <v/>
      </c>
      <c r="R329" t="str">
        <f t="shared" ca="1" si="63"/>
        <v/>
      </c>
      <c r="T329">
        <f t="shared" si="69"/>
        <v>0</v>
      </c>
      <c r="V329">
        <v>2</v>
      </c>
      <c r="W329" t="str">
        <f t="shared" si="74"/>
        <v/>
      </c>
    </row>
    <row r="330" spans="1:23" outlineLevel="2" x14ac:dyDescent="0.3">
      <c r="A330">
        <v>-17.2</v>
      </c>
      <c r="I330" t="str">
        <f t="shared" si="60"/>
        <v/>
      </c>
      <c r="J330" t="str">
        <f t="shared" si="64"/>
        <v/>
      </c>
      <c r="K330" t="e">
        <f t="shared" si="72"/>
        <v>#N/A</v>
      </c>
      <c r="L330">
        <f t="shared" si="61"/>
        <v>-17.2</v>
      </c>
      <c r="M330" t="str">
        <f t="shared" si="66"/>
        <v/>
      </c>
      <c r="N330" t="e">
        <f t="shared" si="73"/>
        <v>#N/A</v>
      </c>
      <c r="P330">
        <f t="shared" si="62"/>
        <v>2</v>
      </c>
      <c r="Q330" t="str">
        <f t="shared" ca="1" si="68"/>
        <v/>
      </c>
      <c r="R330" t="str">
        <f t="shared" ca="1" si="63"/>
        <v/>
      </c>
      <c r="T330">
        <f t="shared" si="69"/>
        <v>0</v>
      </c>
      <c r="V330">
        <v>2</v>
      </c>
      <c r="W330" t="str">
        <f t="shared" si="74"/>
        <v/>
      </c>
    </row>
    <row r="331" spans="1:23" outlineLevel="2" x14ac:dyDescent="0.3">
      <c r="A331">
        <v>-17.39</v>
      </c>
      <c r="I331" t="str">
        <f t="shared" si="60"/>
        <v/>
      </c>
      <c r="J331" t="str">
        <f t="shared" si="64"/>
        <v/>
      </c>
      <c r="K331" t="e">
        <f t="shared" si="72"/>
        <v>#N/A</v>
      </c>
      <c r="L331">
        <f t="shared" si="61"/>
        <v>-17.39</v>
      </c>
      <c r="M331" t="str">
        <f t="shared" si="66"/>
        <v/>
      </c>
      <c r="N331" t="e">
        <f t="shared" si="73"/>
        <v>#N/A</v>
      </c>
      <c r="P331">
        <f t="shared" si="62"/>
        <v>2</v>
      </c>
      <c r="Q331" t="str">
        <f t="shared" ca="1" si="68"/>
        <v/>
      </c>
      <c r="R331" t="str">
        <f t="shared" ca="1" si="63"/>
        <v/>
      </c>
      <c r="T331">
        <f t="shared" si="69"/>
        <v>0</v>
      </c>
      <c r="V331">
        <v>2</v>
      </c>
      <c r="W331" t="str">
        <f t="shared" si="74"/>
        <v/>
      </c>
    </row>
    <row r="332" spans="1:23" outlineLevel="2" x14ac:dyDescent="0.3">
      <c r="A332">
        <v>-17.2</v>
      </c>
      <c r="I332" t="str">
        <f t="shared" si="60"/>
        <v/>
      </c>
      <c r="J332" t="str">
        <f t="shared" si="64"/>
        <v/>
      </c>
      <c r="K332" t="e">
        <f t="shared" si="72"/>
        <v>#N/A</v>
      </c>
      <c r="L332">
        <f t="shared" si="61"/>
        <v>-17.2</v>
      </c>
      <c r="M332" t="str">
        <f t="shared" si="66"/>
        <v/>
      </c>
      <c r="N332" t="e">
        <f t="shared" si="73"/>
        <v>#N/A</v>
      </c>
      <c r="P332">
        <f t="shared" si="62"/>
        <v>2</v>
      </c>
      <c r="Q332" t="str">
        <f t="shared" ca="1" si="68"/>
        <v/>
      </c>
      <c r="R332" t="str">
        <f t="shared" ca="1" si="63"/>
        <v/>
      </c>
      <c r="T332">
        <f t="shared" si="69"/>
        <v>0</v>
      </c>
      <c r="V332">
        <v>2</v>
      </c>
      <c r="W332" t="str">
        <f t="shared" si="74"/>
        <v/>
      </c>
    </row>
    <row r="333" spans="1:23" outlineLevel="2" x14ac:dyDescent="0.3">
      <c r="A333">
        <v>-18.73</v>
      </c>
      <c r="I333" t="str">
        <f t="shared" si="60"/>
        <v/>
      </c>
      <c r="J333" t="str">
        <f t="shared" si="64"/>
        <v/>
      </c>
      <c r="K333" t="e">
        <f t="shared" si="72"/>
        <v>#N/A</v>
      </c>
      <c r="L333">
        <f t="shared" si="61"/>
        <v>-18.73</v>
      </c>
      <c r="M333" t="str">
        <f t="shared" si="66"/>
        <v/>
      </c>
      <c r="N333" t="e">
        <f t="shared" si="73"/>
        <v>#N/A</v>
      </c>
      <c r="P333">
        <f t="shared" si="62"/>
        <v>2</v>
      </c>
      <c r="Q333" t="str">
        <f t="shared" ca="1" si="68"/>
        <v/>
      </c>
      <c r="R333" t="str">
        <f t="shared" ca="1" si="63"/>
        <v/>
      </c>
      <c r="T333">
        <f t="shared" si="69"/>
        <v>0</v>
      </c>
      <c r="V333">
        <v>2</v>
      </c>
      <c r="W333" t="str">
        <f t="shared" si="74"/>
        <v/>
      </c>
    </row>
    <row r="334" spans="1:23" outlineLevel="2" x14ac:dyDescent="0.3">
      <c r="A334">
        <v>-20</v>
      </c>
      <c r="I334" t="str">
        <f t="shared" ref="I334:I401" si="75">IF(A334&gt;0,A334,"")</f>
        <v/>
      </c>
      <c r="J334" t="str">
        <f t="shared" ref="J334:J401" si="76">IF(AND(I335&gt;I334,I335&gt;I336,I335&gt;$D$5),I335,"")</f>
        <v/>
      </c>
      <c r="K334" t="e">
        <f t="shared" si="72"/>
        <v>#N/A</v>
      </c>
      <c r="L334">
        <f t="shared" ref="L334:L401" si="77">IF(A334&lt;0,A334,"")</f>
        <v>-20</v>
      </c>
      <c r="M334" t="str">
        <f t="shared" ref="M334:M401" si="78">IF(AND(L335&lt;L334,L335&lt;L336,L335&lt;$G$5),L335,"")</f>
        <v/>
      </c>
      <c r="N334" t="e">
        <f t="shared" si="73"/>
        <v>#N/A</v>
      </c>
      <c r="P334">
        <f t="shared" ref="P334:P401" si="79">IF(A334&gt;0,1,2)</f>
        <v>2</v>
      </c>
      <c r="Q334" t="str">
        <f t="shared" ref="Q334:Q401" ca="1" si="80">IF(AND(A335&gt;=0,A334&lt;0),CELL("ROW",A335),IF(AND(A335&lt;0,A334&gt;=0),CELL("ROW",A335),""))</f>
        <v/>
      </c>
      <c r="R334" t="str">
        <f t="shared" ref="R334:R401" ca="1" si="81">IF(ISNUMBER(K334),IF(INT(K334)=K334,K334,""),"")&amp;IF(ISNUMBER(N334),IF(INT(N334)=N334,N334,""),"")&amp;IF(ISNUMBER(Q334),IF(INT(Q334)=Q334,Q334,""),"")</f>
        <v/>
      </c>
      <c r="T334">
        <f t="shared" ref="T334:T401" si="82">S335-S334</f>
        <v>0</v>
      </c>
      <c r="V334">
        <v>2</v>
      </c>
      <c r="W334" t="str">
        <f t="shared" si="74"/>
        <v/>
      </c>
    </row>
    <row r="335" spans="1:23" outlineLevel="2" x14ac:dyDescent="0.3">
      <c r="A335">
        <v>-17.760000000000002</v>
      </c>
      <c r="I335" t="str">
        <f t="shared" si="75"/>
        <v/>
      </c>
      <c r="J335" t="str">
        <f t="shared" si="76"/>
        <v/>
      </c>
      <c r="K335" t="e">
        <f t="shared" si="72"/>
        <v>#N/A</v>
      </c>
      <c r="L335">
        <f t="shared" si="77"/>
        <v>-17.760000000000002</v>
      </c>
      <c r="M335" t="str">
        <f t="shared" si="78"/>
        <v/>
      </c>
      <c r="N335" t="e">
        <f t="shared" si="73"/>
        <v>#N/A</v>
      </c>
      <c r="P335">
        <f t="shared" si="79"/>
        <v>2</v>
      </c>
      <c r="Q335" t="str">
        <f t="shared" ca="1" si="80"/>
        <v/>
      </c>
      <c r="R335" t="str">
        <f t="shared" ca="1" si="81"/>
        <v/>
      </c>
      <c r="T335">
        <f t="shared" si="82"/>
        <v>0</v>
      </c>
      <c r="V335">
        <v>2</v>
      </c>
      <c r="W335" t="str">
        <f t="shared" si="74"/>
        <v/>
      </c>
    </row>
    <row r="336" spans="1:23" outlineLevel="2" x14ac:dyDescent="0.3">
      <c r="A336">
        <v>-14.67</v>
      </c>
      <c r="I336" t="str">
        <f t="shared" si="75"/>
        <v/>
      </c>
      <c r="J336" t="str">
        <f t="shared" si="76"/>
        <v/>
      </c>
      <c r="K336" t="e">
        <f t="shared" si="72"/>
        <v>#N/A</v>
      </c>
      <c r="L336">
        <f t="shared" si="77"/>
        <v>-14.67</v>
      </c>
      <c r="M336" t="str">
        <f t="shared" si="78"/>
        <v/>
      </c>
      <c r="N336" t="e">
        <f t="shared" si="73"/>
        <v>#N/A</v>
      </c>
      <c r="P336">
        <f t="shared" si="79"/>
        <v>2</v>
      </c>
      <c r="Q336" t="str">
        <f t="shared" ca="1" si="80"/>
        <v/>
      </c>
      <c r="R336" t="str">
        <f t="shared" ca="1" si="81"/>
        <v/>
      </c>
      <c r="T336">
        <f t="shared" si="82"/>
        <v>0</v>
      </c>
      <c r="V336">
        <v>2</v>
      </c>
      <c r="W336" t="str">
        <f t="shared" si="74"/>
        <v/>
      </c>
    </row>
    <row r="337" spans="1:23" outlineLevel="2" x14ac:dyDescent="0.3">
      <c r="A337">
        <v>-15.13</v>
      </c>
      <c r="I337" t="str">
        <f t="shared" si="75"/>
        <v/>
      </c>
      <c r="J337" t="str">
        <f t="shared" si="76"/>
        <v/>
      </c>
      <c r="K337" t="e">
        <f t="shared" si="72"/>
        <v>#N/A</v>
      </c>
      <c r="L337">
        <f t="shared" si="77"/>
        <v>-15.13</v>
      </c>
      <c r="M337" t="str">
        <f t="shared" si="78"/>
        <v/>
      </c>
      <c r="N337" t="e">
        <f t="shared" si="73"/>
        <v>#N/A</v>
      </c>
      <c r="P337">
        <f t="shared" si="79"/>
        <v>2</v>
      </c>
      <c r="Q337" t="str">
        <f t="shared" ca="1" si="80"/>
        <v/>
      </c>
      <c r="R337" t="str">
        <f t="shared" ca="1" si="81"/>
        <v/>
      </c>
      <c r="T337">
        <f t="shared" si="82"/>
        <v>0</v>
      </c>
      <c r="V337">
        <v>2</v>
      </c>
      <c r="W337" t="str">
        <f t="shared" si="74"/>
        <v/>
      </c>
    </row>
    <row r="338" spans="1:23" outlineLevel="2" x14ac:dyDescent="0.3">
      <c r="A338">
        <v>-18.61</v>
      </c>
      <c r="I338" t="str">
        <f t="shared" si="75"/>
        <v/>
      </c>
      <c r="J338" t="str">
        <f t="shared" si="76"/>
        <v/>
      </c>
      <c r="K338" t="e">
        <f t="shared" si="72"/>
        <v>#N/A</v>
      </c>
      <c r="L338">
        <f t="shared" si="77"/>
        <v>-18.61</v>
      </c>
      <c r="M338" t="str">
        <f t="shared" si="78"/>
        <v/>
      </c>
      <c r="N338" t="e">
        <f t="shared" si="73"/>
        <v>#N/A</v>
      </c>
      <c r="P338">
        <f t="shared" si="79"/>
        <v>2</v>
      </c>
      <c r="Q338" t="str">
        <f t="shared" ca="1" si="80"/>
        <v/>
      </c>
      <c r="R338" t="str">
        <f t="shared" ca="1" si="81"/>
        <v/>
      </c>
      <c r="T338">
        <f t="shared" si="82"/>
        <v>0</v>
      </c>
      <c r="V338">
        <v>2</v>
      </c>
      <c r="W338" t="str">
        <f t="shared" si="74"/>
        <v/>
      </c>
    </row>
    <row r="339" spans="1:23" outlineLevel="2" x14ac:dyDescent="0.3">
      <c r="A339">
        <v>-21.29</v>
      </c>
      <c r="I339" t="str">
        <f t="shared" si="75"/>
        <v/>
      </c>
      <c r="J339" t="str">
        <f t="shared" si="76"/>
        <v/>
      </c>
      <c r="K339" t="e">
        <f t="shared" si="72"/>
        <v>#N/A</v>
      </c>
      <c r="L339">
        <f t="shared" si="77"/>
        <v>-21.29</v>
      </c>
      <c r="M339" t="str">
        <f t="shared" si="78"/>
        <v/>
      </c>
      <c r="N339" t="e">
        <f t="shared" si="73"/>
        <v>#N/A</v>
      </c>
      <c r="P339">
        <f t="shared" si="79"/>
        <v>2</v>
      </c>
      <c r="Q339" t="str">
        <f t="shared" ca="1" si="80"/>
        <v/>
      </c>
      <c r="R339" t="str">
        <f t="shared" ca="1" si="81"/>
        <v/>
      </c>
      <c r="T339">
        <f t="shared" si="82"/>
        <v>0</v>
      </c>
      <c r="V339">
        <v>2</v>
      </c>
      <c r="W339" t="str">
        <f t="shared" si="74"/>
        <v/>
      </c>
    </row>
    <row r="340" spans="1:23" outlineLevel="2" x14ac:dyDescent="0.3">
      <c r="A340">
        <v>-20.76</v>
      </c>
      <c r="I340" t="str">
        <f t="shared" si="75"/>
        <v/>
      </c>
      <c r="J340" t="str">
        <f t="shared" si="76"/>
        <v/>
      </c>
      <c r="K340" t="e">
        <f t="shared" si="72"/>
        <v>#N/A</v>
      </c>
      <c r="L340">
        <f t="shared" si="77"/>
        <v>-20.76</v>
      </c>
      <c r="M340" t="str">
        <f t="shared" si="78"/>
        <v/>
      </c>
      <c r="N340" t="e">
        <f t="shared" si="73"/>
        <v>#N/A</v>
      </c>
      <c r="P340">
        <f t="shared" si="79"/>
        <v>2</v>
      </c>
      <c r="Q340" t="str">
        <f t="shared" ca="1" si="80"/>
        <v/>
      </c>
      <c r="R340" t="str">
        <f t="shared" ca="1" si="81"/>
        <v/>
      </c>
      <c r="T340">
        <f t="shared" si="82"/>
        <v>0</v>
      </c>
      <c r="V340">
        <v>2</v>
      </c>
      <c r="W340" t="str">
        <f t="shared" si="74"/>
        <v/>
      </c>
    </row>
    <row r="341" spans="1:23" outlineLevel="2" x14ac:dyDescent="0.3">
      <c r="A341">
        <v>-17.87</v>
      </c>
      <c r="I341" t="str">
        <f t="shared" si="75"/>
        <v/>
      </c>
      <c r="J341" t="str">
        <f t="shared" si="76"/>
        <v/>
      </c>
      <c r="K341" t="e">
        <f t="shared" si="72"/>
        <v>#N/A</v>
      </c>
      <c r="L341">
        <f t="shared" si="77"/>
        <v>-17.87</v>
      </c>
      <c r="M341" t="str">
        <f t="shared" si="78"/>
        <v/>
      </c>
      <c r="N341" t="e">
        <f t="shared" si="73"/>
        <v>#N/A</v>
      </c>
      <c r="P341">
        <f t="shared" si="79"/>
        <v>2</v>
      </c>
      <c r="Q341" t="str">
        <f t="shared" ca="1" si="80"/>
        <v/>
      </c>
      <c r="R341" t="str">
        <f t="shared" ca="1" si="81"/>
        <v/>
      </c>
      <c r="T341">
        <f t="shared" si="82"/>
        <v>0</v>
      </c>
      <c r="V341">
        <v>2</v>
      </c>
      <c r="W341" t="str">
        <f t="shared" si="74"/>
        <v/>
      </c>
    </row>
    <row r="342" spans="1:23" outlineLevel="2" x14ac:dyDescent="0.3">
      <c r="A342">
        <v>-15.72</v>
      </c>
      <c r="I342" t="str">
        <f t="shared" si="75"/>
        <v/>
      </c>
      <c r="J342" t="str">
        <f t="shared" si="76"/>
        <v/>
      </c>
      <c r="K342" t="e">
        <f t="shared" si="72"/>
        <v>#N/A</v>
      </c>
      <c r="L342">
        <f t="shared" si="77"/>
        <v>-15.72</v>
      </c>
      <c r="M342" t="str">
        <f t="shared" si="78"/>
        <v/>
      </c>
      <c r="N342" t="e">
        <f t="shared" si="73"/>
        <v>#N/A</v>
      </c>
      <c r="P342">
        <f t="shared" si="79"/>
        <v>2</v>
      </c>
      <c r="Q342" t="str">
        <f t="shared" ca="1" si="80"/>
        <v/>
      </c>
      <c r="R342" t="str">
        <f t="shared" ca="1" si="81"/>
        <v/>
      </c>
      <c r="T342">
        <f t="shared" si="82"/>
        <v>0</v>
      </c>
      <c r="V342">
        <v>2</v>
      </c>
      <c r="W342" t="str">
        <f t="shared" si="74"/>
        <v/>
      </c>
    </row>
    <row r="343" spans="1:23" outlineLevel="2" x14ac:dyDescent="0.3">
      <c r="A343">
        <v>-14.86</v>
      </c>
      <c r="I343" t="str">
        <f t="shared" si="75"/>
        <v/>
      </c>
      <c r="J343" t="str">
        <f t="shared" si="76"/>
        <v/>
      </c>
      <c r="K343" t="e">
        <f t="shared" si="72"/>
        <v>#N/A</v>
      </c>
      <c r="L343">
        <f t="shared" si="77"/>
        <v>-14.86</v>
      </c>
      <c r="M343" t="str">
        <f t="shared" si="78"/>
        <v/>
      </c>
      <c r="N343" t="e">
        <f t="shared" si="73"/>
        <v>#N/A</v>
      </c>
      <c r="P343">
        <f t="shared" si="79"/>
        <v>2</v>
      </c>
      <c r="Q343" t="str">
        <f t="shared" ca="1" si="80"/>
        <v/>
      </c>
      <c r="R343" t="str">
        <f t="shared" ca="1" si="81"/>
        <v/>
      </c>
      <c r="T343">
        <f t="shared" si="82"/>
        <v>0</v>
      </c>
      <c r="V343">
        <v>2</v>
      </c>
      <c r="W343" t="str">
        <f t="shared" si="74"/>
        <v/>
      </c>
    </row>
    <row r="344" spans="1:23" outlineLevel="2" x14ac:dyDescent="0.3">
      <c r="A344">
        <v>-13.84</v>
      </c>
      <c r="I344" t="str">
        <f t="shared" si="75"/>
        <v/>
      </c>
      <c r="J344" t="str">
        <f t="shared" si="76"/>
        <v/>
      </c>
      <c r="K344" t="e">
        <f t="shared" si="72"/>
        <v>#N/A</v>
      </c>
      <c r="L344">
        <f t="shared" si="77"/>
        <v>-13.84</v>
      </c>
      <c r="M344" t="str">
        <f t="shared" si="78"/>
        <v/>
      </c>
      <c r="N344" t="e">
        <f t="shared" si="73"/>
        <v>#N/A</v>
      </c>
      <c r="P344">
        <f t="shared" si="79"/>
        <v>2</v>
      </c>
      <c r="Q344" t="str">
        <f t="shared" ca="1" si="80"/>
        <v/>
      </c>
      <c r="R344" t="str">
        <f t="shared" ca="1" si="81"/>
        <v/>
      </c>
      <c r="T344">
        <f t="shared" si="82"/>
        <v>0</v>
      </c>
      <c r="V344">
        <v>2</v>
      </c>
      <c r="W344" t="str">
        <f t="shared" si="74"/>
        <v/>
      </c>
    </row>
    <row r="345" spans="1:23" outlineLevel="2" x14ac:dyDescent="0.3">
      <c r="A345">
        <v>-13.55</v>
      </c>
      <c r="I345" t="str">
        <f t="shared" si="75"/>
        <v/>
      </c>
      <c r="J345" t="str">
        <f t="shared" si="76"/>
        <v/>
      </c>
      <c r="K345" t="e">
        <f t="shared" si="72"/>
        <v>#N/A</v>
      </c>
      <c r="L345">
        <f t="shared" si="77"/>
        <v>-13.55</v>
      </c>
      <c r="M345" t="str">
        <f t="shared" si="78"/>
        <v/>
      </c>
      <c r="N345" t="e">
        <f t="shared" si="73"/>
        <v>#N/A</v>
      </c>
      <c r="P345">
        <f t="shared" si="79"/>
        <v>2</v>
      </c>
      <c r="Q345" t="str">
        <f t="shared" ca="1" si="80"/>
        <v/>
      </c>
      <c r="R345" t="str">
        <f t="shared" ca="1" si="81"/>
        <v/>
      </c>
      <c r="T345">
        <f t="shared" si="82"/>
        <v>0</v>
      </c>
      <c r="V345">
        <v>2</v>
      </c>
      <c r="W345" t="str">
        <f t="shared" si="74"/>
        <v/>
      </c>
    </row>
    <row r="346" spans="1:23" outlineLevel="2" x14ac:dyDescent="0.3">
      <c r="A346">
        <v>-14.18</v>
      </c>
      <c r="I346" t="str">
        <f t="shared" si="75"/>
        <v/>
      </c>
      <c r="J346" t="str">
        <f t="shared" si="76"/>
        <v/>
      </c>
      <c r="K346" t="e">
        <f t="shared" si="72"/>
        <v>#N/A</v>
      </c>
      <c r="L346">
        <f t="shared" si="77"/>
        <v>-14.18</v>
      </c>
      <c r="M346" t="str">
        <f t="shared" si="78"/>
        <v/>
      </c>
      <c r="N346" t="e">
        <f t="shared" si="73"/>
        <v>#N/A</v>
      </c>
      <c r="P346">
        <f t="shared" si="79"/>
        <v>2</v>
      </c>
      <c r="Q346" t="str">
        <f t="shared" ca="1" si="80"/>
        <v/>
      </c>
      <c r="R346" t="str">
        <f t="shared" ca="1" si="81"/>
        <v/>
      </c>
      <c r="T346">
        <f t="shared" si="82"/>
        <v>0</v>
      </c>
      <c r="V346">
        <v>2</v>
      </c>
      <c r="W346" t="str">
        <f t="shared" si="74"/>
        <v/>
      </c>
    </row>
    <row r="347" spans="1:23" outlineLevel="2" x14ac:dyDescent="0.3">
      <c r="A347">
        <v>-14.08</v>
      </c>
      <c r="I347" t="str">
        <f t="shared" si="75"/>
        <v/>
      </c>
      <c r="J347" t="str">
        <f t="shared" si="76"/>
        <v/>
      </c>
      <c r="K347" t="e">
        <f t="shared" si="72"/>
        <v>#N/A</v>
      </c>
      <c r="L347">
        <f t="shared" si="77"/>
        <v>-14.08</v>
      </c>
      <c r="M347" t="str">
        <f t="shared" si="78"/>
        <v/>
      </c>
      <c r="N347" t="e">
        <f t="shared" si="73"/>
        <v>#N/A</v>
      </c>
      <c r="P347">
        <f t="shared" si="79"/>
        <v>2</v>
      </c>
      <c r="Q347" t="str">
        <f t="shared" ca="1" si="80"/>
        <v/>
      </c>
      <c r="R347" t="str">
        <f t="shared" ca="1" si="81"/>
        <v/>
      </c>
      <c r="T347">
        <f t="shared" si="82"/>
        <v>0</v>
      </c>
      <c r="V347">
        <v>2</v>
      </c>
      <c r="W347" t="str">
        <f t="shared" si="74"/>
        <v/>
      </c>
    </row>
    <row r="348" spans="1:23" outlineLevel="2" x14ac:dyDescent="0.3">
      <c r="A348">
        <v>-13.9</v>
      </c>
      <c r="I348" t="str">
        <f t="shared" si="75"/>
        <v/>
      </c>
      <c r="J348" t="str">
        <f>IF(AND(I349&gt;I348,I349&gt;I351,I349&gt;$D$5),I349,"")</f>
        <v/>
      </c>
      <c r="K348" t="e">
        <f t="shared" si="72"/>
        <v>#N/A</v>
      </c>
      <c r="L348">
        <f t="shared" si="77"/>
        <v>-13.9</v>
      </c>
      <c r="M348" t="str">
        <f>IF(AND(L349&lt;L348,L349&lt;L351,L349&lt;$G$5),L349,"")</f>
        <v/>
      </c>
      <c r="N348" t="e">
        <f t="shared" si="73"/>
        <v>#N/A</v>
      </c>
      <c r="P348">
        <f t="shared" si="79"/>
        <v>2</v>
      </c>
      <c r="Q348" t="str">
        <f t="shared" ca="1" si="80"/>
        <v/>
      </c>
      <c r="R348" t="str">
        <f t="shared" ca="1" si="81"/>
        <v/>
      </c>
      <c r="T348">
        <f t="shared" si="82"/>
        <v>0</v>
      </c>
      <c r="V348">
        <v>2</v>
      </c>
      <c r="W348" t="str">
        <f t="shared" si="74"/>
        <v/>
      </c>
    </row>
    <row r="349" spans="1:23" outlineLevel="2" x14ac:dyDescent="0.3">
      <c r="A349">
        <v>-13.26</v>
      </c>
      <c r="I349" t="str">
        <f t="shared" si="75"/>
        <v/>
      </c>
      <c r="J349" t="str">
        <f>IF(AND(I351&gt;I349,I351&gt;I353,I351&gt;$D$5),I351,"")</f>
        <v/>
      </c>
      <c r="K349" t="e">
        <f t="shared" si="72"/>
        <v>#N/A</v>
      </c>
      <c r="L349">
        <f t="shared" si="77"/>
        <v>-13.26</v>
      </c>
      <c r="M349" t="str">
        <f>IF(AND(L351&lt;L349,L351&lt;L353,L351&lt;$G$5),L351,"")</f>
        <v/>
      </c>
      <c r="N349" t="e">
        <f t="shared" si="73"/>
        <v>#N/A</v>
      </c>
      <c r="P349">
        <f t="shared" si="79"/>
        <v>2</v>
      </c>
      <c r="Q349">
        <f ca="1">IF(AND(A351&gt;=0,A349&lt;0),CELL("ROW",A351),IF(AND(A351&lt;0,A349&gt;=0),CELL("ROW",A351),""))</f>
        <v>351</v>
      </c>
      <c r="R349" t="str">
        <f t="shared" ca="1" si="81"/>
        <v>351</v>
      </c>
      <c r="T349">
        <f>S351-S349</f>
        <v>0</v>
      </c>
      <c r="V349">
        <v>2</v>
      </c>
      <c r="W349" t="str">
        <f t="shared" si="74"/>
        <v/>
      </c>
    </row>
    <row r="350" spans="1:23" outlineLevel="1" x14ac:dyDescent="0.3">
      <c r="O350" s="1" t="s">
        <v>27</v>
      </c>
      <c r="P350">
        <f>SUBTOTAL(3,P323:P349)</f>
        <v>27</v>
      </c>
      <c r="V350">
        <v>27</v>
      </c>
      <c r="W350" t="str">
        <f t="shared" si="74"/>
        <v/>
      </c>
    </row>
    <row r="351" spans="1:23" outlineLevel="2" x14ac:dyDescent="0.3">
      <c r="A351">
        <v>11.53</v>
      </c>
      <c r="I351">
        <f t="shared" si="75"/>
        <v>11.53</v>
      </c>
      <c r="J351" t="str">
        <f>IF(AND(I353&gt;I351,I353&gt;I355,I353&gt;$D$5),I353,"")</f>
        <v/>
      </c>
      <c r="K351" t="e">
        <f>MATCH(J351,$A$1:$A$10041,0)</f>
        <v>#N/A</v>
      </c>
      <c r="L351" t="str">
        <f t="shared" si="77"/>
        <v/>
      </c>
      <c r="M351" t="str">
        <f>IF(AND(L353&lt;L351,L353&lt;L355,L353&lt;$G$5),L353,"")</f>
        <v/>
      </c>
      <c r="N351" t="e">
        <f>MATCH(M351,$A$1:$A$10041,0)</f>
        <v>#N/A</v>
      </c>
      <c r="P351">
        <f t="shared" si="79"/>
        <v>1</v>
      </c>
      <c r="Q351">
        <f ca="1">IF(AND(A353&gt;=0,A351&lt;0),CELL("ROW",A353),IF(AND(A353&lt;0,A351&gt;=0),CELL("ROW",A353),""))</f>
        <v>353</v>
      </c>
      <c r="R351" t="str">
        <f t="shared" ca="1" si="81"/>
        <v>353</v>
      </c>
      <c r="T351">
        <f>S353-S351</f>
        <v>0</v>
      </c>
      <c r="V351">
        <v>1</v>
      </c>
      <c r="W351" t="str">
        <f t="shared" si="74"/>
        <v/>
      </c>
    </row>
    <row r="352" spans="1:23" outlineLevel="1" x14ac:dyDescent="0.3">
      <c r="O352" s="1" t="s">
        <v>26</v>
      </c>
      <c r="P352">
        <f>SUBTOTAL(3,P351:P351)</f>
        <v>1</v>
      </c>
      <c r="V352">
        <v>1</v>
      </c>
      <c r="W352" t="str">
        <f t="shared" si="74"/>
        <v/>
      </c>
    </row>
    <row r="353" spans="1:23" outlineLevel="2" x14ac:dyDescent="0.3">
      <c r="A353">
        <v>-15.71</v>
      </c>
      <c r="I353" t="str">
        <f t="shared" si="75"/>
        <v/>
      </c>
      <c r="J353" t="str">
        <f>IF(AND(I355&gt;I353,I355&gt;I356,I355&gt;$D$5),I355,"")</f>
        <v/>
      </c>
      <c r="K353" t="e">
        <f>MATCH(J353,$A$1:$A$10041,0)</f>
        <v>#N/A</v>
      </c>
      <c r="L353">
        <f t="shared" si="77"/>
        <v>-15.71</v>
      </c>
      <c r="M353" t="str">
        <f>IF(AND(L355&lt;L353,L355&lt;L356,L355&lt;$G$5),L355,"")</f>
        <v/>
      </c>
      <c r="N353" t="e">
        <f>MATCH(M353,$A$1:$A$10041,0)</f>
        <v>#N/A</v>
      </c>
      <c r="P353">
        <f t="shared" si="79"/>
        <v>2</v>
      </c>
      <c r="Q353">
        <f ca="1">IF(AND(A355&gt;=0,A353&lt;0),CELL("ROW",A355),IF(AND(A355&lt;0,A353&gt;=0),CELL("ROW",A355),""))</f>
        <v>355</v>
      </c>
      <c r="R353" t="str">
        <f t="shared" ca="1" si="81"/>
        <v>355</v>
      </c>
      <c r="T353">
        <f>S355-S353</f>
        <v>0</v>
      </c>
      <c r="V353">
        <v>2</v>
      </c>
      <c r="W353" t="str">
        <f t="shared" si="74"/>
        <v/>
      </c>
    </row>
    <row r="354" spans="1:23" outlineLevel="1" x14ac:dyDescent="0.3">
      <c r="O354" s="1" t="s">
        <v>27</v>
      </c>
      <c r="P354">
        <f>SUBTOTAL(3,P353:P353)</f>
        <v>1</v>
      </c>
      <c r="V354">
        <v>1</v>
      </c>
      <c r="W354" t="str">
        <f t="shared" si="74"/>
        <v/>
      </c>
    </row>
    <row r="355" spans="1:23" outlineLevel="2" x14ac:dyDescent="0.3">
      <c r="A355">
        <v>12.85</v>
      </c>
      <c r="I355">
        <f t="shared" si="75"/>
        <v>12.85</v>
      </c>
      <c r="J355" t="str">
        <f t="shared" si="76"/>
        <v/>
      </c>
      <c r="K355" t="e">
        <f t="shared" ref="K355:K382" si="83">MATCH(J355,$A$1:$A$10041,0)</f>
        <v>#N/A</v>
      </c>
      <c r="L355" t="str">
        <f t="shared" si="77"/>
        <v/>
      </c>
      <c r="M355" t="str">
        <f t="shared" si="78"/>
        <v/>
      </c>
      <c r="N355" t="e">
        <f t="shared" ref="N355:N382" si="84">MATCH(M355,$A$1:$A$10041,0)</f>
        <v>#N/A</v>
      </c>
      <c r="P355">
        <f t="shared" si="79"/>
        <v>1</v>
      </c>
      <c r="Q355" t="str">
        <f t="shared" ca="1" si="80"/>
        <v/>
      </c>
      <c r="R355" t="str">
        <f t="shared" ca="1" si="81"/>
        <v/>
      </c>
      <c r="T355">
        <f t="shared" si="82"/>
        <v>0</v>
      </c>
      <c r="V355">
        <v>1</v>
      </c>
      <c r="W355" t="str">
        <f t="shared" si="74"/>
        <v/>
      </c>
    </row>
    <row r="356" spans="1:23" outlineLevel="2" x14ac:dyDescent="0.3">
      <c r="A356">
        <v>20.68</v>
      </c>
      <c r="I356">
        <f t="shared" si="75"/>
        <v>20.68</v>
      </c>
      <c r="J356" t="str">
        <f t="shared" si="76"/>
        <v/>
      </c>
      <c r="K356" t="e">
        <f t="shared" si="83"/>
        <v>#N/A</v>
      </c>
      <c r="L356" t="str">
        <f t="shared" si="77"/>
        <v/>
      </c>
      <c r="M356" t="str">
        <f t="shared" si="78"/>
        <v/>
      </c>
      <c r="N356" t="e">
        <f t="shared" si="84"/>
        <v>#N/A</v>
      </c>
      <c r="P356">
        <f t="shared" si="79"/>
        <v>1</v>
      </c>
      <c r="Q356" t="str">
        <f t="shared" ca="1" si="80"/>
        <v/>
      </c>
      <c r="R356" t="str">
        <f t="shared" ca="1" si="81"/>
        <v/>
      </c>
      <c r="T356">
        <f t="shared" si="82"/>
        <v>0</v>
      </c>
      <c r="V356">
        <v>1</v>
      </c>
      <c r="W356" t="str">
        <f t="shared" si="74"/>
        <v/>
      </c>
    </row>
    <row r="357" spans="1:23" outlineLevel="2" x14ac:dyDescent="0.3">
      <c r="A357">
        <v>27.62</v>
      </c>
      <c r="I357">
        <f t="shared" si="75"/>
        <v>27.62</v>
      </c>
      <c r="J357" t="str">
        <f t="shared" si="76"/>
        <v/>
      </c>
      <c r="K357" t="e">
        <f t="shared" si="83"/>
        <v>#N/A</v>
      </c>
      <c r="L357" t="str">
        <f t="shared" si="77"/>
        <v/>
      </c>
      <c r="M357" t="str">
        <f t="shared" si="78"/>
        <v/>
      </c>
      <c r="N357" t="e">
        <f t="shared" si="84"/>
        <v>#N/A</v>
      </c>
      <c r="P357">
        <f t="shared" si="79"/>
        <v>1</v>
      </c>
      <c r="Q357" t="str">
        <f t="shared" ca="1" si="80"/>
        <v/>
      </c>
      <c r="R357" t="str">
        <f t="shared" ca="1" si="81"/>
        <v/>
      </c>
      <c r="T357">
        <f t="shared" si="82"/>
        <v>0</v>
      </c>
      <c r="V357">
        <v>1</v>
      </c>
      <c r="W357" t="str">
        <f t="shared" si="74"/>
        <v/>
      </c>
    </row>
    <row r="358" spans="1:23" outlineLevel="2" x14ac:dyDescent="0.3">
      <c r="A358">
        <v>32.31</v>
      </c>
      <c r="I358">
        <f t="shared" si="75"/>
        <v>32.31</v>
      </c>
      <c r="J358" t="str">
        <f t="shared" si="76"/>
        <v/>
      </c>
      <c r="K358" t="e">
        <f t="shared" si="83"/>
        <v>#N/A</v>
      </c>
      <c r="L358" t="str">
        <f t="shared" si="77"/>
        <v/>
      </c>
      <c r="M358" t="str">
        <f t="shared" si="78"/>
        <v/>
      </c>
      <c r="N358" t="e">
        <f t="shared" si="84"/>
        <v>#N/A</v>
      </c>
      <c r="P358">
        <f t="shared" si="79"/>
        <v>1</v>
      </c>
      <c r="Q358" t="str">
        <f t="shared" ca="1" si="80"/>
        <v/>
      </c>
      <c r="R358" t="str">
        <f t="shared" ca="1" si="81"/>
        <v/>
      </c>
      <c r="T358">
        <f t="shared" si="82"/>
        <v>0</v>
      </c>
      <c r="V358">
        <v>1</v>
      </c>
      <c r="W358" t="str">
        <f t="shared" si="74"/>
        <v/>
      </c>
    </row>
    <row r="359" spans="1:23" outlineLevel="2" x14ac:dyDescent="0.3">
      <c r="A359">
        <v>36.14</v>
      </c>
      <c r="I359">
        <f t="shared" si="75"/>
        <v>36.14</v>
      </c>
      <c r="J359" t="str">
        <f t="shared" si="76"/>
        <v/>
      </c>
      <c r="K359" t="e">
        <f t="shared" si="83"/>
        <v>#N/A</v>
      </c>
      <c r="L359" t="str">
        <f t="shared" si="77"/>
        <v/>
      </c>
      <c r="M359" t="str">
        <f t="shared" si="78"/>
        <v/>
      </c>
      <c r="N359" t="e">
        <f t="shared" si="84"/>
        <v>#N/A</v>
      </c>
      <c r="P359">
        <f t="shared" si="79"/>
        <v>1</v>
      </c>
      <c r="Q359" t="str">
        <f t="shared" ca="1" si="80"/>
        <v/>
      </c>
      <c r="R359" t="str">
        <f t="shared" ca="1" si="81"/>
        <v/>
      </c>
      <c r="T359">
        <f t="shared" si="82"/>
        <v>0</v>
      </c>
      <c r="V359">
        <v>1</v>
      </c>
      <c r="W359" t="str">
        <f t="shared" si="74"/>
        <v/>
      </c>
    </row>
    <row r="360" spans="1:23" outlineLevel="2" x14ac:dyDescent="0.3">
      <c r="A360">
        <v>39.130000000000003</v>
      </c>
      <c r="I360">
        <f t="shared" si="75"/>
        <v>39.130000000000003</v>
      </c>
      <c r="J360" t="str">
        <f t="shared" si="76"/>
        <v/>
      </c>
      <c r="K360" t="e">
        <f t="shared" si="83"/>
        <v>#N/A</v>
      </c>
      <c r="L360" t="str">
        <f t="shared" si="77"/>
        <v/>
      </c>
      <c r="M360" t="str">
        <f t="shared" si="78"/>
        <v/>
      </c>
      <c r="N360" t="e">
        <f t="shared" si="84"/>
        <v>#N/A</v>
      </c>
      <c r="P360">
        <f t="shared" si="79"/>
        <v>1</v>
      </c>
      <c r="Q360" t="str">
        <f t="shared" ca="1" si="80"/>
        <v/>
      </c>
      <c r="R360" t="str">
        <f t="shared" ca="1" si="81"/>
        <v/>
      </c>
      <c r="T360">
        <f t="shared" si="82"/>
        <v>0</v>
      </c>
      <c r="V360">
        <v>1</v>
      </c>
      <c r="W360" t="str">
        <f t="shared" si="74"/>
        <v/>
      </c>
    </row>
    <row r="361" spans="1:23" outlineLevel="2" x14ac:dyDescent="0.3">
      <c r="A361">
        <v>39.94</v>
      </c>
      <c r="I361">
        <f t="shared" si="75"/>
        <v>39.94</v>
      </c>
      <c r="J361" t="str">
        <f t="shared" si="76"/>
        <v/>
      </c>
      <c r="K361" t="e">
        <f t="shared" si="83"/>
        <v>#N/A</v>
      </c>
      <c r="L361" t="str">
        <f t="shared" si="77"/>
        <v/>
      </c>
      <c r="M361" t="str">
        <f t="shared" si="78"/>
        <v/>
      </c>
      <c r="N361" t="e">
        <f t="shared" si="84"/>
        <v>#N/A</v>
      </c>
      <c r="P361">
        <f t="shared" si="79"/>
        <v>1</v>
      </c>
      <c r="Q361" t="str">
        <f t="shared" ca="1" si="80"/>
        <v/>
      </c>
      <c r="R361" t="str">
        <f t="shared" ca="1" si="81"/>
        <v/>
      </c>
      <c r="T361">
        <f t="shared" si="82"/>
        <v>0</v>
      </c>
      <c r="V361">
        <v>1</v>
      </c>
      <c r="W361" t="str">
        <f t="shared" si="74"/>
        <v/>
      </c>
    </row>
    <row r="362" spans="1:23" outlineLevel="2" x14ac:dyDescent="0.3">
      <c r="A362">
        <v>39.1</v>
      </c>
      <c r="I362">
        <f t="shared" si="75"/>
        <v>39.1</v>
      </c>
      <c r="J362" t="str">
        <f t="shared" si="76"/>
        <v/>
      </c>
      <c r="K362" t="e">
        <f t="shared" si="83"/>
        <v>#N/A</v>
      </c>
      <c r="L362" t="str">
        <f t="shared" si="77"/>
        <v/>
      </c>
      <c r="M362" t="str">
        <f t="shared" si="78"/>
        <v/>
      </c>
      <c r="N362" t="e">
        <f t="shared" si="84"/>
        <v>#N/A</v>
      </c>
      <c r="P362">
        <f t="shared" si="79"/>
        <v>1</v>
      </c>
      <c r="Q362" t="str">
        <f t="shared" ca="1" si="80"/>
        <v/>
      </c>
      <c r="R362" t="str">
        <f t="shared" ca="1" si="81"/>
        <v/>
      </c>
      <c r="T362">
        <f t="shared" si="82"/>
        <v>0</v>
      </c>
      <c r="V362">
        <v>1</v>
      </c>
      <c r="W362" t="str">
        <f t="shared" si="74"/>
        <v/>
      </c>
    </row>
    <row r="363" spans="1:23" outlineLevel="2" x14ac:dyDescent="0.3">
      <c r="A363">
        <v>37.69</v>
      </c>
      <c r="I363">
        <f t="shared" si="75"/>
        <v>37.69</v>
      </c>
      <c r="J363" t="str">
        <f t="shared" si="76"/>
        <v/>
      </c>
      <c r="K363" t="e">
        <f t="shared" si="83"/>
        <v>#N/A</v>
      </c>
      <c r="L363" t="str">
        <f t="shared" si="77"/>
        <v/>
      </c>
      <c r="M363" t="str">
        <f t="shared" si="78"/>
        <v/>
      </c>
      <c r="N363" t="e">
        <f t="shared" si="84"/>
        <v>#N/A</v>
      </c>
      <c r="P363">
        <f t="shared" si="79"/>
        <v>1</v>
      </c>
      <c r="Q363" t="str">
        <f t="shared" ca="1" si="80"/>
        <v/>
      </c>
      <c r="R363" t="str">
        <f t="shared" ca="1" si="81"/>
        <v/>
      </c>
      <c r="T363">
        <f t="shared" si="82"/>
        <v>0</v>
      </c>
      <c r="V363">
        <v>1</v>
      </c>
      <c r="W363" t="str">
        <f t="shared" si="74"/>
        <v/>
      </c>
    </row>
    <row r="364" spans="1:23" outlineLevel="2" x14ac:dyDescent="0.3">
      <c r="A364">
        <v>36.1</v>
      </c>
      <c r="I364">
        <f t="shared" si="75"/>
        <v>36.1</v>
      </c>
      <c r="J364" t="str">
        <f t="shared" si="76"/>
        <v/>
      </c>
      <c r="K364" t="e">
        <f t="shared" si="83"/>
        <v>#N/A</v>
      </c>
      <c r="L364" t="str">
        <f t="shared" si="77"/>
        <v/>
      </c>
      <c r="M364" t="str">
        <f t="shared" si="78"/>
        <v/>
      </c>
      <c r="N364" t="e">
        <f t="shared" si="84"/>
        <v>#N/A</v>
      </c>
      <c r="P364">
        <f t="shared" si="79"/>
        <v>1</v>
      </c>
      <c r="Q364" t="str">
        <f t="shared" ca="1" si="80"/>
        <v/>
      </c>
      <c r="R364" t="str">
        <f t="shared" ca="1" si="81"/>
        <v/>
      </c>
      <c r="T364">
        <f t="shared" si="82"/>
        <v>0</v>
      </c>
      <c r="V364">
        <v>1</v>
      </c>
      <c r="W364" t="str">
        <f t="shared" si="74"/>
        <v/>
      </c>
    </row>
    <row r="365" spans="1:23" outlineLevel="2" x14ac:dyDescent="0.3">
      <c r="A365">
        <v>33.39</v>
      </c>
      <c r="I365">
        <f t="shared" si="75"/>
        <v>33.39</v>
      </c>
      <c r="J365" t="str">
        <f t="shared" si="76"/>
        <v/>
      </c>
      <c r="K365" t="e">
        <f t="shared" si="83"/>
        <v>#N/A</v>
      </c>
      <c r="L365" t="str">
        <f t="shared" si="77"/>
        <v/>
      </c>
      <c r="M365" t="str">
        <f t="shared" si="78"/>
        <v/>
      </c>
      <c r="N365" t="e">
        <f t="shared" si="84"/>
        <v>#N/A</v>
      </c>
      <c r="P365">
        <f t="shared" si="79"/>
        <v>1</v>
      </c>
      <c r="Q365" t="str">
        <f t="shared" ca="1" si="80"/>
        <v/>
      </c>
      <c r="R365" t="str">
        <f t="shared" ca="1" si="81"/>
        <v/>
      </c>
      <c r="T365">
        <f t="shared" si="82"/>
        <v>0</v>
      </c>
      <c r="V365">
        <v>1</v>
      </c>
      <c r="W365" t="str">
        <f t="shared" si="74"/>
        <v/>
      </c>
    </row>
    <row r="366" spans="1:23" outlineLevel="2" x14ac:dyDescent="0.3">
      <c r="A366">
        <v>28.98</v>
      </c>
      <c r="I366">
        <f t="shared" si="75"/>
        <v>28.98</v>
      </c>
      <c r="J366" t="str">
        <f t="shared" si="76"/>
        <v/>
      </c>
      <c r="K366" t="e">
        <f t="shared" si="83"/>
        <v>#N/A</v>
      </c>
      <c r="L366" t="str">
        <f t="shared" si="77"/>
        <v/>
      </c>
      <c r="M366" t="str">
        <f t="shared" si="78"/>
        <v/>
      </c>
      <c r="N366" t="e">
        <f t="shared" si="84"/>
        <v>#N/A</v>
      </c>
      <c r="P366">
        <f t="shared" si="79"/>
        <v>1</v>
      </c>
      <c r="Q366" t="str">
        <f t="shared" ca="1" si="80"/>
        <v/>
      </c>
      <c r="R366" t="str">
        <f t="shared" ca="1" si="81"/>
        <v/>
      </c>
      <c r="T366">
        <f t="shared" si="82"/>
        <v>0</v>
      </c>
      <c r="V366">
        <v>1</v>
      </c>
      <c r="W366" t="str">
        <f t="shared" si="74"/>
        <v/>
      </c>
    </row>
    <row r="367" spans="1:23" outlineLevel="2" x14ac:dyDescent="0.3">
      <c r="A367">
        <v>24.99</v>
      </c>
      <c r="I367">
        <f t="shared" si="75"/>
        <v>24.99</v>
      </c>
      <c r="J367" t="str">
        <f t="shared" si="76"/>
        <v/>
      </c>
      <c r="K367" t="e">
        <f t="shared" si="83"/>
        <v>#N/A</v>
      </c>
      <c r="L367" t="str">
        <f t="shared" si="77"/>
        <v/>
      </c>
      <c r="M367" t="str">
        <f t="shared" si="78"/>
        <v/>
      </c>
      <c r="N367" t="e">
        <f t="shared" si="84"/>
        <v>#N/A</v>
      </c>
      <c r="P367">
        <f t="shared" si="79"/>
        <v>1</v>
      </c>
      <c r="Q367" t="str">
        <f t="shared" ca="1" si="80"/>
        <v/>
      </c>
      <c r="R367" t="str">
        <f t="shared" ca="1" si="81"/>
        <v/>
      </c>
      <c r="T367">
        <f t="shared" si="82"/>
        <v>0</v>
      </c>
      <c r="V367">
        <v>1</v>
      </c>
      <c r="W367" t="str">
        <f t="shared" si="74"/>
        <v/>
      </c>
    </row>
    <row r="368" spans="1:23" outlineLevel="2" x14ac:dyDescent="0.3">
      <c r="A368">
        <v>22.51</v>
      </c>
      <c r="I368">
        <f t="shared" si="75"/>
        <v>22.51</v>
      </c>
      <c r="J368" t="str">
        <f t="shared" si="76"/>
        <v/>
      </c>
      <c r="K368" t="e">
        <f t="shared" si="83"/>
        <v>#N/A</v>
      </c>
      <c r="L368" t="str">
        <f t="shared" si="77"/>
        <v/>
      </c>
      <c r="M368" t="str">
        <f t="shared" si="78"/>
        <v/>
      </c>
      <c r="N368" t="e">
        <f t="shared" si="84"/>
        <v>#N/A</v>
      </c>
      <c r="P368">
        <f t="shared" si="79"/>
        <v>1</v>
      </c>
      <c r="Q368" t="str">
        <f t="shared" ca="1" si="80"/>
        <v/>
      </c>
      <c r="R368" t="str">
        <f t="shared" ca="1" si="81"/>
        <v/>
      </c>
      <c r="T368">
        <f t="shared" si="82"/>
        <v>0</v>
      </c>
      <c r="V368">
        <v>1</v>
      </c>
      <c r="W368" t="str">
        <f t="shared" si="74"/>
        <v/>
      </c>
    </row>
    <row r="369" spans="1:23" outlineLevel="2" x14ac:dyDescent="0.3">
      <c r="A369">
        <v>19.27</v>
      </c>
      <c r="I369">
        <f t="shared" si="75"/>
        <v>19.27</v>
      </c>
      <c r="J369" t="str">
        <f t="shared" si="76"/>
        <v/>
      </c>
      <c r="K369" t="e">
        <f t="shared" si="83"/>
        <v>#N/A</v>
      </c>
      <c r="L369" t="str">
        <f t="shared" si="77"/>
        <v/>
      </c>
      <c r="M369" t="str">
        <f t="shared" si="78"/>
        <v/>
      </c>
      <c r="N369" t="e">
        <f t="shared" si="84"/>
        <v>#N/A</v>
      </c>
      <c r="P369">
        <f t="shared" si="79"/>
        <v>1</v>
      </c>
      <c r="Q369" t="str">
        <f t="shared" ca="1" si="80"/>
        <v/>
      </c>
      <c r="R369" t="str">
        <f t="shared" ca="1" si="81"/>
        <v/>
      </c>
      <c r="T369">
        <f t="shared" si="82"/>
        <v>0</v>
      </c>
      <c r="V369">
        <v>1</v>
      </c>
      <c r="W369" t="str">
        <f t="shared" si="74"/>
        <v/>
      </c>
    </row>
    <row r="370" spans="1:23" outlineLevel="2" x14ac:dyDescent="0.3">
      <c r="A370">
        <v>16.14</v>
      </c>
      <c r="I370">
        <f t="shared" si="75"/>
        <v>16.14</v>
      </c>
      <c r="J370" t="str">
        <f t="shared" si="76"/>
        <v/>
      </c>
      <c r="K370" t="e">
        <f t="shared" si="83"/>
        <v>#N/A</v>
      </c>
      <c r="L370" t="str">
        <f t="shared" si="77"/>
        <v/>
      </c>
      <c r="M370" t="str">
        <f t="shared" si="78"/>
        <v/>
      </c>
      <c r="N370" t="e">
        <f t="shared" si="84"/>
        <v>#N/A</v>
      </c>
      <c r="P370">
        <f t="shared" si="79"/>
        <v>1</v>
      </c>
      <c r="Q370" t="str">
        <f t="shared" ca="1" si="80"/>
        <v/>
      </c>
      <c r="R370" t="str">
        <f t="shared" ca="1" si="81"/>
        <v/>
      </c>
      <c r="T370">
        <f t="shared" si="82"/>
        <v>0</v>
      </c>
      <c r="V370">
        <v>1</v>
      </c>
      <c r="W370" t="str">
        <f t="shared" si="74"/>
        <v/>
      </c>
    </row>
    <row r="371" spans="1:23" outlineLevel="2" x14ac:dyDescent="0.3">
      <c r="A371">
        <v>15.91</v>
      </c>
      <c r="I371">
        <f t="shared" si="75"/>
        <v>15.91</v>
      </c>
      <c r="J371" t="str">
        <f t="shared" si="76"/>
        <v/>
      </c>
      <c r="K371" t="e">
        <f t="shared" si="83"/>
        <v>#N/A</v>
      </c>
      <c r="L371" t="str">
        <f t="shared" si="77"/>
        <v/>
      </c>
      <c r="M371" t="str">
        <f t="shared" si="78"/>
        <v/>
      </c>
      <c r="N371" t="e">
        <f t="shared" si="84"/>
        <v>#N/A</v>
      </c>
      <c r="P371">
        <f t="shared" si="79"/>
        <v>1</v>
      </c>
      <c r="Q371" t="str">
        <f t="shared" ca="1" si="80"/>
        <v/>
      </c>
      <c r="R371" t="str">
        <f t="shared" ca="1" si="81"/>
        <v/>
      </c>
      <c r="T371">
        <f t="shared" si="82"/>
        <v>0</v>
      </c>
      <c r="V371">
        <v>1</v>
      </c>
      <c r="W371" t="str">
        <f t="shared" si="74"/>
        <v/>
      </c>
    </row>
    <row r="372" spans="1:23" outlineLevel="2" x14ac:dyDescent="0.3">
      <c r="A372">
        <v>16.850000000000001</v>
      </c>
      <c r="I372">
        <f t="shared" si="75"/>
        <v>16.850000000000001</v>
      </c>
      <c r="J372" t="str">
        <f t="shared" si="76"/>
        <v/>
      </c>
      <c r="K372" t="e">
        <f t="shared" si="83"/>
        <v>#N/A</v>
      </c>
      <c r="L372" t="str">
        <f t="shared" si="77"/>
        <v/>
      </c>
      <c r="M372" t="str">
        <f t="shared" si="78"/>
        <v/>
      </c>
      <c r="N372" t="e">
        <f t="shared" si="84"/>
        <v>#N/A</v>
      </c>
      <c r="P372">
        <f t="shared" si="79"/>
        <v>1</v>
      </c>
      <c r="Q372" t="str">
        <f t="shared" ca="1" si="80"/>
        <v/>
      </c>
      <c r="R372" t="str">
        <f t="shared" ca="1" si="81"/>
        <v/>
      </c>
      <c r="T372">
        <f t="shared" si="82"/>
        <v>0</v>
      </c>
      <c r="V372">
        <v>1</v>
      </c>
      <c r="W372" t="str">
        <f t="shared" si="74"/>
        <v/>
      </c>
    </row>
    <row r="373" spans="1:23" outlineLevel="2" x14ac:dyDescent="0.3">
      <c r="A373">
        <v>16.899999999999999</v>
      </c>
      <c r="I373">
        <f t="shared" si="75"/>
        <v>16.899999999999999</v>
      </c>
      <c r="J373" t="str">
        <f t="shared" si="76"/>
        <v/>
      </c>
      <c r="K373" t="e">
        <f t="shared" si="83"/>
        <v>#N/A</v>
      </c>
      <c r="L373" t="str">
        <f t="shared" si="77"/>
        <v/>
      </c>
      <c r="M373" t="str">
        <f t="shared" si="78"/>
        <v/>
      </c>
      <c r="N373" t="e">
        <f t="shared" si="84"/>
        <v>#N/A</v>
      </c>
      <c r="P373">
        <f t="shared" si="79"/>
        <v>1</v>
      </c>
      <c r="Q373" t="str">
        <f t="shared" ca="1" si="80"/>
        <v/>
      </c>
      <c r="R373" t="str">
        <f t="shared" ca="1" si="81"/>
        <v/>
      </c>
      <c r="T373">
        <f t="shared" si="82"/>
        <v>0</v>
      </c>
      <c r="V373">
        <v>1</v>
      </c>
      <c r="W373" t="str">
        <f t="shared" si="74"/>
        <v/>
      </c>
    </row>
    <row r="374" spans="1:23" outlineLevel="2" x14ac:dyDescent="0.3">
      <c r="A374">
        <v>17.64</v>
      </c>
      <c r="I374">
        <f t="shared" si="75"/>
        <v>17.64</v>
      </c>
      <c r="J374" t="str">
        <f t="shared" si="76"/>
        <v/>
      </c>
      <c r="K374" t="e">
        <f t="shared" si="83"/>
        <v>#N/A</v>
      </c>
      <c r="L374" t="str">
        <f t="shared" si="77"/>
        <v/>
      </c>
      <c r="M374" t="str">
        <f t="shared" si="78"/>
        <v/>
      </c>
      <c r="N374" t="e">
        <f t="shared" si="84"/>
        <v>#N/A</v>
      </c>
      <c r="P374">
        <f t="shared" si="79"/>
        <v>1</v>
      </c>
      <c r="Q374" t="str">
        <f t="shared" ca="1" si="80"/>
        <v/>
      </c>
      <c r="R374" t="str">
        <f t="shared" ca="1" si="81"/>
        <v/>
      </c>
      <c r="T374">
        <f t="shared" si="82"/>
        <v>0</v>
      </c>
      <c r="V374">
        <v>1</v>
      </c>
      <c r="W374" t="str">
        <f t="shared" si="74"/>
        <v/>
      </c>
    </row>
    <row r="375" spans="1:23" outlineLevel="2" x14ac:dyDescent="0.3">
      <c r="A375">
        <v>19.739999999999998</v>
      </c>
      <c r="I375">
        <f t="shared" si="75"/>
        <v>19.739999999999998</v>
      </c>
      <c r="J375" t="str">
        <f t="shared" si="76"/>
        <v/>
      </c>
      <c r="K375" t="e">
        <f t="shared" si="83"/>
        <v>#N/A</v>
      </c>
      <c r="L375" t="str">
        <f t="shared" si="77"/>
        <v/>
      </c>
      <c r="M375" t="str">
        <f t="shared" si="78"/>
        <v/>
      </c>
      <c r="N375" t="e">
        <f t="shared" si="84"/>
        <v>#N/A</v>
      </c>
      <c r="P375">
        <f t="shared" si="79"/>
        <v>1</v>
      </c>
      <c r="Q375" t="str">
        <f t="shared" ca="1" si="80"/>
        <v/>
      </c>
      <c r="R375" t="str">
        <f t="shared" ca="1" si="81"/>
        <v/>
      </c>
      <c r="T375">
        <f t="shared" si="82"/>
        <v>0</v>
      </c>
      <c r="V375">
        <v>1</v>
      </c>
      <c r="W375" t="str">
        <f t="shared" si="74"/>
        <v/>
      </c>
    </row>
    <row r="376" spans="1:23" outlineLevel="2" x14ac:dyDescent="0.3">
      <c r="A376">
        <v>20.8</v>
      </c>
      <c r="I376">
        <f t="shared" si="75"/>
        <v>20.8</v>
      </c>
      <c r="J376" t="str">
        <f t="shared" si="76"/>
        <v/>
      </c>
      <c r="K376" t="e">
        <f t="shared" si="83"/>
        <v>#N/A</v>
      </c>
      <c r="L376" t="str">
        <f t="shared" si="77"/>
        <v/>
      </c>
      <c r="M376" t="str">
        <f t="shared" si="78"/>
        <v/>
      </c>
      <c r="N376" t="e">
        <f t="shared" si="84"/>
        <v>#N/A</v>
      </c>
      <c r="P376">
        <f t="shared" si="79"/>
        <v>1</v>
      </c>
      <c r="Q376" t="str">
        <f t="shared" ca="1" si="80"/>
        <v/>
      </c>
      <c r="R376" t="str">
        <f t="shared" ca="1" si="81"/>
        <v/>
      </c>
      <c r="T376">
        <f t="shared" si="82"/>
        <v>0</v>
      </c>
      <c r="V376">
        <v>1</v>
      </c>
      <c r="W376" t="str">
        <f t="shared" si="74"/>
        <v/>
      </c>
    </row>
    <row r="377" spans="1:23" outlineLevel="2" x14ac:dyDescent="0.3">
      <c r="A377">
        <v>20.440000000000001</v>
      </c>
      <c r="I377">
        <f t="shared" si="75"/>
        <v>20.440000000000001</v>
      </c>
      <c r="J377" t="str">
        <f t="shared" si="76"/>
        <v/>
      </c>
      <c r="K377" t="e">
        <f t="shared" si="83"/>
        <v>#N/A</v>
      </c>
      <c r="L377" t="str">
        <f t="shared" si="77"/>
        <v/>
      </c>
      <c r="M377" t="str">
        <f t="shared" si="78"/>
        <v/>
      </c>
      <c r="N377" t="e">
        <f t="shared" si="84"/>
        <v>#N/A</v>
      </c>
      <c r="P377">
        <f t="shared" si="79"/>
        <v>1</v>
      </c>
      <c r="Q377" t="str">
        <f t="shared" ca="1" si="80"/>
        <v/>
      </c>
      <c r="R377" t="str">
        <f t="shared" ca="1" si="81"/>
        <v/>
      </c>
      <c r="T377">
        <f t="shared" si="82"/>
        <v>0</v>
      </c>
      <c r="V377">
        <v>1</v>
      </c>
      <c r="W377" t="str">
        <f t="shared" si="74"/>
        <v/>
      </c>
    </row>
    <row r="378" spans="1:23" outlineLevel="2" x14ac:dyDescent="0.3">
      <c r="A378">
        <v>20.54</v>
      </c>
      <c r="I378">
        <f t="shared" si="75"/>
        <v>20.54</v>
      </c>
      <c r="J378" t="str">
        <f t="shared" si="76"/>
        <v/>
      </c>
      <c r="K378" t="e">
        <f t="shared" si="83"/>
        <v>#N/A</v>
      </c>
      <c r="L378" t="str">
        <f t="shared" si="77"/>
        <v/>
      </c>
      <c r="M378" t="str">
        <f t="shared" si="78"/>
        <v/>
      </c>
      <c r="N378" t="e">
        <f t="shared" si="84"/>
        <v>#N/A</v>
      </c>
      <c r="P378">
        <f t="shared" si="79"/>
        <v>1</v>
      </c>
      <c r="Q378" t="str">
        <f t="shared" ca="1" si="80"/>
        <v/>
      </c>
      <c r="R378" t="str">
        <f t="shared" ca="1" si="81"/>
        <v/>
      </c>
      <c r="T378">
        <f t="shared" si="82"/>
        <v>0</v>
      </c>
      <c r="V378">
        <v>1</v>
      </c>
      <c r="W378" t="str">
        <f t="shared" si="74"/>
        <v/>
      </c>
    </row>
    <row r="379" spans="1:23" outlineLevel="2" x14ac:dyDescent="0.3">
      <c r="A379">
        <v>21.03</v>
      </c>
      <c r="I379">
        <f t="shared" si="75"/>
        <v>21.03</v>
      </c>
      <c r="J379" t="str">
        <f t="shared" si="76"/>
        <v/>
      </c>
      <c r="K379" t="e">
        <f t="shared" si="83"/>
        <v>#N/A</v>
      </c>
      <c r="L379" t="str">
        <f t="shared" si="77"/>
        <v/>
      </c>
      <c r="M379" t="str">
        <f t="shared" si="78"/>
        <v/>
      </c>
      <c r="N379" t="e">
        <f t="shared" si="84"/>
        <v>#N/A</v>
      </c>
      <c r="P379">
        <f t="shared" si="79"/>
        <v>1</v>
      </c>
      <c r="Q379" t="str">
        <f t="shared" ca="1" si="80"/>
        <v/>
      </c>
      <c r="R379" t="str">
        <f t="shared" ca="1" si="81"/>
        <v/>
      </c>
      <c r="T379">
        <f t="shared" si="82"/>
        <v>0</v>
      </c>
      <c r="V379">
        <v>1</v>
      </c>
      <c r="W379" t="str">
        <f t="shared" si="74"/>
        <v/>
      </c>
    </row>
    <row r="380" spans="1:23" outlineLevel="2" x14ac:dyDescent="0.3">
      <c r="A380">
        <v>19.55</v>
      </c>
      <c r="I380">
        <f t="shared" si="75"/>
        <v>19.55</v>
      </c>
      <c r="J380" t="str">
        <f t="shared" si="76"/>
        <v/>
      </c>
      <c r="K380" t="e">
        <f t="shared" si="83"/>
        <v>#N/A</v>
      </c>
      <c r="L380" t="str">
        <f t="shared" si="77"/>
        <v/>
      </c>
      <c r="M380" t="str">
        <f t="shared" si="78"/>
        <v/>
      </c>
      <c r="N380" t="e">
        <f t="shared" si="84"/>
        <v>#N/A</v>
      </c>
      <c r="P380">
        <f t="shared" si="79"/>
        <v>1</v>
      </c>
      <c r="Q380" t="str">
        <f t="shared" ca="1" si="80"/>
        <v/>
      </c>
      <c r="R380" t="str">
        <f t="shared" ca="1" si="81"/>
        <v/>
      </c>
      <c r="T380">
        <f t="shared" si="82"/>
        <v>0</v>
      </c>
      <c r="V380">
        <v>1</v>
      </c>
      <c r="W380" t="str">
        <f t="shared" si="74"/>
        <v/>
      </c>
    </row>
    <row r="381" spans="1:23" outlineLevel="2" x14ac:dyDescent="0.3">
      <c r="A381">
        <v>16.5</v>
      </c>
      <c r="I381">
        <f t="shared" si="75"/>
        <v>16.5</v>
      </c>
      <c r="J381" t="str">
        <f>IF(AND(I382&gt;I381,I382&gt;I384,I382&gt;$D$5),I382,"")</f>
        <v/>
      </c>
      <c r="K381" t="e">
        <f t="shared" si="83"/>
        <v>#N/A</v>
      </c>
      <c r="L381" t="str">
        <f t="shared" si="77"/>
        <v/>
      </c>
      <c r="M381" t="str">
        <f>IF(AND(L382&lt;L381,L382&lt;L384,L382&lt;$G$5),L382,"")</f>
        <v/>
      </c>
      <c r="N381" t="e">
        <f t="shared" si="84"/>
        <v>#N/A</v>
      </c>
      <c r="P381">
        <f t="shared" si="79"/>
        <v>1</v>
      </c>
      <c r="Q381" t="str">
        <f t="shared" ca="1" si="80"/>
        <v/>
      </c>
      <c r="R381" t="str">
        <f t="shared" ca="1" si="81"/>
        <v/>
      </c>
      <c r="T381">
        <f t="shared" si="82"/>
        <v>0</v>
      </c>
      <c r="V381">
        <v>1</v>
      </c>
      <c r="W381" t="str">
        <f t="shared" si="74"/>
        <v/>
      </c>
    </row>
    <row r="382" spans="1:23" outlineLevel="2" x14ac:dyDescent="0.3">
      <c r="A382">
        <v>13.54</v>
      </c>
      <c r="I382">
        <f t="shared" si="75"/>
        <v>13.54</v>
      </c>
      <c r="J382" t="str">
        <f>IF(AND(I384&gt;I382,I384&gt;I385,I384&gt;$D$5),I384,"")</f>
        <v/>
      </c>
      <c r="K382" t="e">
        <f t="shared" si="83"/>
        <v>#N/A</v>
      </c>
      <c r="L382" t="str">
        <f t="shared" si="77"/>
        <v/>
      </c>
      <c r="M382" t="str">
        <f>IF(AND(L384&lt;L382,L384&lt;L385,L384&lt;$G$5),L384,"")</f>
        <v/>
      </c>
      <c r="N382" t="e">
        <f t="shared" si="84"/>
        <v>#N/A</v>
      </c>
      <c r="P382">
        <f t="shared" si="79"/>
        <v>1</v>
      </c>
      <c r="Q382">
        <f ca="1">IF(AND(A384&gt;=0,A382&lt;0),CELL("ROW",A384),IF(AND(A384&lt;0,A382&gt;=0),CELL("ROW",A384),""))</f>
        <v>384</v>
      </c>
      <c r="R382" t="str">
        <f t="shared" ca="1" si="81"/>
        <v>384</v>
      </c>
      <c r="T382">
        <f>S384-S382</f>
        <v>0</v>
      </c>
      <c r="V382">
        <v>1</v>
      </c>
      <c r="W382" t="str">
        <f t="shared" si="74"/>
        <v/>
      </c>
    </row>
    <row r="383" spans="1:23" outlineLevel="1" x14ac:dyDescent="0.3">
      <c r="O383" s="1" t="s">
        <v>26</v>
      </c>
      <c r="P383">
        <f>SUBTOTAL(3,P355:P382)</f>
        <v>28</v>
      </c>
      <c r="V383">
        <v>28</v>
      </c>
      <c r="W383" t="str">
        <f t="shared" si="74"/>
        <v/>
      </c>
    </row>
    <row r="384" spans="1:23" outlineLevel="2" x14ac:dyDescent="0.3">
      <c r="A384">
        <v>-14.52</v>
      </c>
      <c r="I384" t="str">
        <f t="shared" si="75"/>
        <v/>
      </c>
      <c r="J384" t="str">
        <f t="shared" si="76"/>
        <v/>
      </c>
      <c r="K384" t="e">
        <f t="shared" ref="K384:K419" si="85">MATCH(J384,$A$1:$A$10041,0)</f>
        <v>#N/A</v>
      </c>
      <c r="L384">
        <f t="shared" si="77"/>
        <v>-14.52</v>
      </c>
      <c r="M384" t="str">
        <f t="shared" si="78"/>
        <v/>
      </c>
      <c r="N384" t="e">
        <f t="shared" ref="N384:N419" si="86">MATCH(M384,$A$1:$A$10041,0)</f>
        <v>#N/A</v>
      </c>
      <c r="P384">
        <f t="shared" si="79"/>
        <v>2</v>
      </c>
      <c r="Q384" t="str">
        <f t="shared" ca="1" si="80"/>
        <v/>
      </c>
      <c r="R384" t="str">
        <f t="shared" ca="1" si="81"/>
        <v/>
      </c>
      <c r="T384">
        <f t="shared" si="82"/>
        <v>0</v>
      </c>
      <c r="V384">
        <v>2</v>
      </c>
      <c r="W384" t="str">
        <f t="shared" si="74"/>
        <v/>
      </c>
    </row>
    <row r="385" spans="1:23" outlineLevel="2" x14ac:dyDescent="0.3">
      <c r="A385">
        <v>-15.6</v>
      </c>
      <c r="I385" t="str">
        <f t="shared" si="75"/>
        <v/>
      </c>
      <c r="J385" t="str">
        <f t="shared" si="76"/>
        <v/>
      </c>
      <c r="K385" t="e">
        <f t="shared" si="85"/>
        <v>#N/A</v>
      </c>
      <c r="L385">
        <f t="shared" si="77"/>
        <v>-15.6</v>
      </c>
      <c r="M385" t="str">
        <f t="shared" si="78"/>
        <v/>
      </c>
      <c r="N385" t="e">
        <f t="shared" si="86"/>
        <v>#N/A</v>
      </c>
      <c r="P385">
        <f t="shared" si="79"/>
        <v>2</v>
      </c>
      <c r="Q385" t="str">
        <f t="shared" ca="1" si="80"/>
        <v/>
      </c>
      <c r="R385" t="str">
        <f t="shared" ca="1" si="81"/>
        <v/>
      </c>
      <c r="T385">
        <f t="shared" si="82"/>
        <v>0</v>
      </c>
      <c r="V385">
        <v>2</v>
      </c>
      <c r="W385" t="str">
        <f t="shared" si="74"/>
        <v/>
      </c>
    </row>
    <row r="386" spans="1:23" outlineLevel="2" x14ac:dyDescent="0.3">
      <c r="A386">
        <v>-14.91</v>
      </c>
      <c r="I386" t="str">
        <f t="shared" si="75"/>
        <v/>
      </c>
      <c r="J386" t="str">
        <f t="shared" si="76"/>
        <v/>
      </c>
      <c r="K386" t="e">
        <f t="shared" si="85"/>
        <v>#N/A</v>
      </c>
      <c r="L386">
        <f t="shared" si="77"/>
        <v>-14.91</v>
      </c>
      <c r="M386" t="str">
        <f t="shared" si="78"/>
        <v/>
      </c>
      <c r="N386" t="e">
        <f t="shared" si="86"/>
        <v>#N/A</v>
      </c>
      <c r="P386">
        <f t="shared" si="79"/>
        <v>2</v>
      </c>
      <c r="Q386" t="str">
        <f t="shared" ca="1" si="80"/>
        <v/>
      </c>
      <c r="R386" t="str">
        <f t="shared" ca="1" si="81"/>
        <v/>
      </c>
      <c r="T386">
        <f t="shared" si="82"/>
        <v>0</v>
      </c>
      <c r="V386">
        <v>2</v>
      </c>
      <c r="W386" t="str">
        <f t="shared" si="74"/>
        <v/>
      </c>
    </row>
    <row r="387" spans="1:23" outlineLevel="2" x14ac:dyDescent="0.3">
      <c r="A387">
        <v>-14.75</v>
      </c>
      <c r="I387" t="str">
        <f t="shared" si="75"/>
        <v/>
      </c>
      <c r="J387" t="str">
        <f t="shared" si="76"/>
        <v/>
      </c>
      <c r="K387" t="e">
        <f t="shared" si="85"/>
        <v>#N/A</v>
      </c>
      <c r="L387">
        <f t="shared" si="77"/>
        <v>-14.75</v>
      </c>
      <c r="M387" t="str">
        <f t="shared" si="78"/>
        <v/>
      </c>
      <c r="N387" t="e">
        <f t="shared" si="86"/>
        <v>#N/A</v>
      </c>
      <c r="P387">
        <f t="shared" si="79"/>
        <v>2</v>
      </c>
      <c r="Q387" t="str">
        <f t="shared" ca="1" si="80"/>
        <v/>
      </c>
      <c r="R387" t="str">
        <f t="shared" ca="1" si="81"/>
        <v/>
      </c>
      <c r="T387">
        <f t="shared" si="82"/>
        <v>0</v>
      </c>
      <c r="V387">
        <v>2</v>
      </c>
      <c r="W387" t="str">
        <f t="shared" ref="W387:W450" si="87">IF(AND(V387&gt;2,V387&lt;20),V387,"")</f>
        <v/>
      </c>
    </row>
    <row r="388" spans="1:23" outlineLevel="2" x14ac:dyDescent="0.3">
      <c r="A388">
        <v>-18.559999999999999</v>
      </c>
      <c r="I388" t="str">
        <f t="shared" si="75"/>
        <v/>
      </c>
      <c r="J388" t="str">
        <f t="shared" si="76"/>
        <v/>
      </c>
      <c r="K388" t="e">
        <f t="shared" si="85"/>
        <v>#N/A</v>
      </c>
      <c r="L388">
        <f t="shared" si="77"/>
        <v>-18.559999999999999</v>
      </c>
      <c r="M388" t="str">
        <f t="shared" si="78"/>
        <v/>
      </c>
      <c r="N388" t="e">
        <f t="shared" si="86"/>
        <v>#N/A</v>
      </c>
      <c r="P388">
        <f t="shared" si="79"/>
        <v>2</v>
      </c>
      <c r="Q388" t="str">
        <f t="shared" ca="1" si="80"/>
        <v/>
      </c>
      <c r="R388" t="str">
        <f t="shared" ca="1" si="81"/>
        <v/>
      </c>
      <c r="T388">
        <f t="shared" si="82"/>
        <v>0</v>
      </c>
      <c r="V388">
        <v>2</v>
      </c>
      <c r="W388" t="str">
        <f t="shared" si="87"/>
        <v/>
      </c>
    </row>
    <row r="389" spans="1:23" outlineLevel="2" x14ac:dyDescent="0.3">
      <c r="A389">
        <v>-25.98</v>
      </c>
      <c r="I389" t="str">
        <f t="shared" si="75"/>
        <v/>
      </c>
      <c r="J389" t="str">
        <f t="shared" si="76"/>
        <v/>
      </c>
      <c r="K389" t="e">
        <f t="shared" si="85"/>
        <v>#N/A</v>
      </c>
      <c r="L389">
        <f t="shared" si="77"/>
        <v>-25.98</v>
      </c>
      <c r="M389" t="str">
        <f t="shared" si="78"/>
        <v/>
      </c>
      <c r="N389" t="e">
        <f t="shared" si="86"/>
        <v>#N/A</v>
      </c>
      <c r="P389">
        <f t="shared" si="79"/>
        <v>2</v>
      </c>
      <c r="Q389" t="str">
        <f t="shared" ca="1" si="80"/>
        <v/>
      </c>
      <c r="R389" t="str">
        <f t="shared" ca="1" si="81"/>
        <v/>
      </c>
      <c r="T389">
        <f t="shared" si="82"/>
        <v>0</v>
      </c>
      <c r="V389">
        <v>2</v>
      </c>
      <c r="W389" t="str">
        <f t="shared" si="87"/>
        <v/>
      </c>
    </row>
    <row r="390" spans="1:23" outlineLevel="2" x14ac:dyDescent="0.3">
      <c r="A390">
        <v>-30.92</v>
      </c>
      <c r="I390" t="str">
        <f t="shared" si="75"/>
        <v/>
      </c>
      <c r="J390" t="str">
        <f t="shared" si="76"/>
        <v/>
      </c>
      <c r="K390" t="e">
        <f t="shared" si="85"/>
        <v>#N/A</v>
      </c>
      <c r="L390">
        <f t="shared" si="77"/>
        <v>-30.92</v>
      </c>
      <c r="M390" t="str">
        <f t="shared" si="78"/>
        <v/>
      </c>
      <c r="N390" t="e">
        <f t="shared" si="86"/>
        <v>#N/A</v>
      </c>
      <c r="P390">
        <f t="shared" si="79"/>
        <v>2</v>
      </c>
      <c r="Q390" t="str">
        <f t="shared" ca="1" si="80"/>
        <v/>
      </c>
      <c r="R390" t="str">
        <f t="shared" ca="1" si="81"/>
        <v/>
      </c>
      <c r="T390">
        <f t="shared" si="82"/>
        <v>0</v>
      </c>
      <c r="V390">
        <v>2</v>
      </c>
      <c r="W390" t="str">
        <f t="shared" si="87"/>
        <v/>
      </c>
    </row>
    <row r="391" spans="1:23" outlineLevel="2" x14ac:dyDescent="0.3">
      <c r="A391">
        <v>-30.77</v>
      </c>
      <c r="I391" t="str">
        <f t="shared" si="75"/>
        <v/>
      </c>
      <c r="J391" t="str">
        <f t="shared" si="76"/>
        <v/>
      </c>
      <c r="K391" t="e">
        <f t="shared" si="85"/>
        <v>#N/A</v>
      </c>
      <c r="L391">
        <f t="shared" si="77"/>
        <v>-30.77</v>
      </c>
      <c r="M391" t="str">
        <f t="shared" si="78"/>
        <v/>
      </c>
      <c r="N391" t="e">
        <f t="shared" si="86"/>
        <v>#N/A</v>
      </c>
      <c r="P391">
        <f t="shared" si="79"/>
        <v>2</v>
      </c>
      <c r="Q391" t="str">
        <f t="shared" ca="1" si="80"/>
        <v/>
      </c>
      <c r="R391" t="str">
        <f t="shared" ca="1" si="81"/>
        <v/>
      </c>
      <c r="T391">
        <f t="shared" si="82"/>
        <v>0</v>
      </c>
      <c r="V391">
        <v>2</v>
      </c>
      <c r="W391" t="str">
        <f t="shared" si="87"/>
        <v/>
      </c>
    </row>
    <row r="392" spans="1:23" outlineLevel="2" x14ac:dyDescent="0.3">
      <c r="A392">
        <v>-29.52</v>
      </c>
      <c r="I392" t="str">
        <f t="shared" si="75"/>
        <v/>
      </c>
      <c r="J392" t="str">
        <f t="shared" si="76"/>
        <v/>
      </c>
      <c r="K392" t="e">
        <f t="shared" si="85"/>
        <v>#N/A</v>
      </c>
      <c r="L392">
        <f t="shared" si="77"/>
        <v>-29.52</v>
      </c>
      <c r="M392" t="str">
        <f t="shared" si="78"/>
        <v/>
      </c>
      <c r="N392" t="e">
        <f t="shared" si="86"/>
        <v>#N/A</v>
      </c>
      <c r="P392">
        <f t="shared" si="79"/>
        <v>2</v>
      </c>
      <c r="Q392" t="str">
        <f t="shared" ca="1" si="80"/>
        <v/>
      </c>
      <c r="R392" t="str">
        <f t="shared" ca="1" si="81"/>
        <v/>
      </c>
      <c r="T392">
        <f t="shared" si="82"/>
        <v>0</v>
      </c>
      <c r="V392">
        <v>2</v>
      </c>
      <c r="W392" t="str">
        <f t="shared" si="87"/>
        <v/>
      </c>
    </row>
    <row r="393" spans="1:23" outlineLevel="2" x14ac:dyDescent="0.3">
      <c r="A393">
        <v>-29.13</v>
      </c>
      <c r="I393" t="str">
        <f t="shared" si="75"/>
        <v/>
      </c>
      <c r="J393" t="str">
        <f t="shared" si="76"/>
        <v/>
      </c>
      <c r="K393" t="e">
        <f t="shared" si="85"/>
        <v>#N/A</v>
      </c>
      <c r="L393">
        <f t="shared" si="77"/>
        <v>-29.13</v>
      </c>
      <c r="M393" t="str">
        <f t="shared" si="78"/>
        <v/>
      </c>
      <c r="N393" t="e">
        <f t="shared" si="86"/>
        <v>#N/A</v>
      </c>
      <c r="P393">
        <f t="shared" si="79"/>
        <v>2</v>
      </c>
      <c r="Q393" t="str">
        <f t="shared" ca="1" si="80"/>
        <v/>
      </c>
      <c r="R393" t="str">
        <f t="shared" ca="1" si="81"/>
        <v/>
      </c>
      <c r="T393">
        <f t="shared" si="82"/>
        <v>0</v>
      </c>
      <c r="V393">
        <v>2</v>
      </c>
      <c r="W393" t="str">
        <f t="shared" si="87"/>
        <v/>
      </c>
    </row>
    <row r="394" spans="1:23" outlineLevel="2" x14ac:dyDescent="0.3">
      <c r="A394">
        <v>-28.46</v>
      </c>
      <c r="I394" t="str">
        <f t="shared" si="75"/>
        <v/>
      </c>
      <c r="J394" t="str">
        <f t="shared" si="76"/>
        <v/>
      </c>
      <c r="K394" t="e">
        <f t="shared" si="85"/>
        <v>#N/A</v>
      </c>
      <c r="L394">
        <f t="shared" si="77"/>
        <v>-28.46</v>
      </c>
      <c r="M394" t="str">
        <f t="shared" si="78"/>
        <v/>
      </c>
      <c r="N394" t="e">
        <f t="shared" si="86"/>
        <v>#N/A</v>
      </c>
      <c r="P394">
        <f t="shared" si="79"/>
        <v>2</v>
      </c>
      <c r="Q394" t="str">
        <f t="shared" ca="1" si="80"/>
        <v/>
      </c>
      <c r="R394" t="str">
        <f t="shared" ca="1" si="81"/>
        <v/>
      </c>
      <c r="T394">
        <f t="shared" si="82"/>
        <v>0</v>
      </c>
      <c r="V394">
        <v>2</v>
      </c>
      <c r="W394" t="str">
        <f t="shared" si="87"/>
        <v/>
      </c>
    </row>
    <row r="395" spans="1:23" outlineLevel="2" x14ac:dyDescent="0.3">
      <c r="A395">
        <v>-28.08</v>
      </c>
      <c r="I395" t="str">
        <f t="shared" si="75"/>
        <v/>
      </c>
      <c r="J395" t="str">
        <f t="shared" si="76"/>
        <v/>
      </c>
      <c r="K395" t="e">
        <f t="shared" si="85"/>
        <v>#N/A</v>
      </c>
      <c r="L395">
        <f t="shared" si="77"/>
        <v>-28.08</v>
      </c>
      <c r="M395" t="str">
        <f t="shared" si="78"/>
        <v/>
      </c>
      <c r="N395" t="e">
        <f t="shared" si="86"/>
        <v>#N/A</v>
      </c>
      <c r="P395">
        <f t="shared" si="79"/>
        <v>2</v>
      </c>
      <c r="Q395" t="str">
        <f t="shared" ca="1" si="80"/>
        <v/>
      </c>
      <c r="R395" t="str">
        <f t="shared" ca="1" si="81"/>
        <v/>
      </c>
      <c r="T395">
        <f t="shared" si="82"/>
        <v>0</v>
      </c>
      <c r="V395">
        <v>2</v>
      </c>
      <c r="W395" t="str">
        <f t="shared" si="87"/>
        <v/>
      </c>
    </row>
    <row r="396" spans="1:23" outlineLevel="2" x14ac:dyDescent="0.3">
      <c r="A396">
        <v>-29.37</v>
      </c>
      <c r="I396" t="str">
        <f t="shared" si="75"/>
        <v/>
      </c>
      <c r="J396" t="str">
        <f t="shared" si="76"/>
        <v/>
      </c>
      <c r="K396" t="e">
        <f t="shared" si="85"/>
        <v>#N/A</v>
      </c>
      <c r="L396">
        <f t="shared" si="77"/>
        <v>-29.37</v>
      </c>
      <c r="M396" t="str">
        <f t="shared" si="78"/>
        <v/>
      </c>
      <c r="N396" t="e">
        <f t="shared" si="86"/>
        <v>#N/A</v>
      </c>
      <c r="P396">
        <f t="shared" si="79"/>
        <v>2</v>
      </c>
      <c r="Q396" t="str">
        <f t="shared" ca="1" si="80"/>
        <v/>
      </c>
      <c r="R396" t="str">
        <f t="shared" ca="1" si="81"/>
        <v/>
      </c>
      <c r="T396">
        <f t="shared" si="82"/>
        <v>0</v>
      </c>
      <c r="V396">
        <v>2</v>
      </c>
      <c r="W396" t="str">
        <f t="shared" si="87"/>
        <v/>
      </c>
    </row>
    <row r="397" spans="1:23" outlineLevel="2" x14ac:dyDescent="0.3">
      <c r="A397">
        <v>-31.74</v>
      </c>
      <c r="I397" t="str">
        <f t="shared" si="75"/>
        <v/>
      </c>
      <c r="J397" t="str">
        <f t="shared" si="76"/>
        <v/>
      </c>
      <c r="K397" t="e">
        <f t="shared" si="85"/>
        <v>#N/A</v>
      </c>
      <c r="L397">
        <f t="shared" si="77"/>
        <v>-31.74</v>
      </c>
      <c r="M397" t="str">
        <f t="shared" si="78"/>
        <v/>
      </c>
      <c r="N397" t="e">
        <f t="shared" si="86"/>
        <v>#N/A</v>
      </c>
      <c r="P397">
        <f t="shared" si="79"/>
        <v>2</v>
      </c>
      <c r="Q397" t="str">
        <f t="shared" ca="1" si="80"/>
        <v/>
      </c>
      <c r="R397" t="str">
        <f t="shared" ca="1" si="81"/>
        <v/>
      </c>
      <c r="T397">
        <f t="shared" si="82"/>
        <v>0</v>
      </c>
      <c r="V397">
        <v>2</v>
      </c>
      <c r="W397" t="str">
        <f t="shared" si="87"/>
        <v/>
      </c>
    </row>
    <row r="398" spans="1:23" outlineLevel="2" x14ac:dyDescent="0.3">
      <c r="A398">
        <v>-33.28</v>
      </c>
      <c r="I398" t="str">
        <f t="shared" si="75"/>
        <v/>
      </c>
      <c r="J398" t="str">
        <f t="shared" si="76"/>
        <v/>
      </c>
      <c r="K398" t="e">
        <f t="shared" si="85"/>
        <v>#N/A</v>
      </c>
      <c r="L398">
        <f t="shared" si="77"/>
        <v>-33.28</v>
      </c>
      <c r="M398" t="str">
        <f t="shared" si="78"/>
        <v/>
      </c>
      <c r="N398" t="e">
        <f t="shared" si="86"/>
        <v>#N/A</v>
      </c>
      <c r="P398">
        <f t="shared" si="79"/>
        <v>2</v>
      </c>
      <c r="Q398" t="str">
        <f t="shared" ca="1" si="80"/>
        <v/>
      </c>
      <c r="R398" t="str">
        <f t="shared" ca="1" si="81"/>
        <v/>
      </c>
      <c r="T398">
        <f t="shared" si="82"/>
        <v>0</v>
      </c>
      <c r="V398">
        <v>2</v>
      </c>
      <c r="W398" t="str">
        <f t="shared" si="87"/>
        <v/>
      </c>
    </row>
    <row r="399" spans="1:23" outlineLevel="2" x14ac:dyDescent="0.3">
      <c r="A399">
        <v>-33.29</v>
      </c>
      <c r="I399" t="str">
        <f t="shared" si="75"/>
        <v/>
      </c>
      <c r="J399" t="str">
        <f t="shared" si="76"/>
        <v/>
      </c>
      <c r="K399" t="e">
        <f t="shared" si="85"/>
        <v>#N/A</v>
      </c>
      <c r="L399">
        <f t="shared" si="77"/>
        <v>-33.29</v>
      </c>
      <c r="M399" t="str">
        <f t="shared" si="78"/>
        <v/>
      </c>
      <c r="N399" t="e">
        <f t="shared" si="86"/>
        <v>#N/A</v>
      </c>
      <c r="P399">
        <f t="shared" si="79"/>
        <v>2</v>
      </c>
      <c r="Q399" t="str">
        <f t="shared" ca="1" si="80"/>
        <v/>
      </c>
      <c r="R399" t="str">
        <f t="shared" ca="1" si="81"/>
        <v/>
      </c>
      <c r="T399">
        <f t="shared" si="82"/>
        <v>0</v>
      </c>
      <c r="V399">
        <v>2</v>
      </c>
      <c r="W399" t="str">
        <f t="shared" si="87"/>
        <v/>
      </c>
    </row>
    <row r="400" spans="1:23" outlineLevel="2" x14ac:dyDescent="0.3">
      <c r="A400">
        <v>-33.18</v>
      </c>
      <c r="I400" t="str">
        <f t="shared" si="75"/>
        <v/>
      </c>
      <c r="J400" t="str">
        <f t="shared" si="76"/>
        <v/>
      </c>
      <c r="K400" t="e">
        <f t="shared" si="85"/>
        <v>#N/A</v>
      </c>
      <c r="L400">
        <f t="shared" si="77"/>
        <v>-33.18</v>
      </c>
      <c r="M400" t="str">
        <f t="shared" si="78"/>
        <v/>
      </c>
      <c r="N400" t="e">
        <f t="shared" si="86"/>
        <v>#N/A</v>
      </c>
      <c r="P400">
        <f t="shared" si="79"/>
        <v>2</v>
      </c>
      <c r="Q400" t="str">
        <f t="shared" ca="1" si="80"/>
        <v/>
      </c>
      <c r="R400" t="str">
        <f t="shared" ca="1" si="81"/>
        <v/>
      </c>
      <c r="T400">
        <f t="shared" si="82"/>
        <v>0</v>
      </c>
      <c r="V400">
        <v>2</v>
      </c>
      <c r="W400" t="str">
        <f t="shared" si="87"/>
        <v/>
      </c>
    </row>
    <row r="401" spans="1:23" outlineLevel="2" x14ac:dyDescent="0.3">
      <c r="A401">
        <v>-34.020000000000003</v>
      </c>
      <c r="I401" t="str">
        <f t="shared" si="75"/>
        <v/>
      </c>
      <c r="J401" t="str">
        <f t="shared" si="76"/>
        <v/>
      </c>
      <c r="K401" t="e">
        <f t="shared" si="85"/>
        <v>#N/A</v>
      </c>
      <c r="L401">
        <f t="shared" si="77"/>
        <v>-34.020000000000003</v>
      </c>
      <c r="M401" t="str">
        <f t="shared" si="78"/>
        <v/>
      </c>
      <c r="N401" t="e">
        <f t="shared" si="86"/>
        <v>#N/A</v>
      </c>
      <c r="P401">
        <f t="shared" si="79"/>
        <v>2</v>
      </c>
      <c r="Q401" t="str">
        <f t="shared" ca="1" si="80"/>
        <v/>
      </c>
      <c r="R401" t="str">
        <f t="shared" ca="1" si="81"/>
        <v/>
      </c>
      <c r="T401">
        <f t="shared" si="82"/>
        <v>0</v>
      </c>
      <c r="V401">
        <v>2</v>
      </c>
      <c r="W401" t="str">
        <f t="shared" si="87"/>
        <v/>
      </c>
    </row>
    <row r="402" spans="1:23" outlineLevel="2" x14ac:dyDescent="0.3">
      <c r="A402">
        <v>-34.5</v>
      </c>
      <c r="I402" t="str">
        <f t="shared" ref="I402:I467" si="88">IF(A402&gt;0,A402,"")</f>
        <v/>
      </c>
      <c r="J402" t="str">
        <f t="shared" ref="J402:J467" si="89">IF(AND(I403&gt;I402,I403&gt;I404,I403&gt;$D$5),I403,"")</f>
        <v/>
      </c>
      <c r="K402" t="e">
        <f t="shared" si="85"/>
        <v>#N/A</v>
      </c>
      <c r="L402">
        <f t="shared" ref="L402:L467" si="90">IF(A402&lt;0,A402,"")</f>
        <v>-34.5</v>
      </c>
      <c r="M402" t="str">
        <f t="shared" ref="M402:M467" si="91">IF(AND(L403&lt;L402,L403&lt;L404,L403&lt;$G$5),L403,"")</f>
        <v/>
      </c>
      <c r="N402" t="e">
        <f t="shared" si="86"/>
        <v>#N/A</v>
      </c>
      <c r="P402">
        <f t="shared" ref="P402:P467" si="92">IF(A402&gt;0,1,2)</f>
        <v>2</v>
      </c>
      <c r="Q402" t="str">
        <f t="shared" ref="Q402:Q467" ca="1" si="93">IF(AND(A403&gt;=0,A402&lt;0),CELL("ROW",A403),IF(AND(A403&lt;0,A402&gt;=0),CELL("ROW",A403),""))</f>
        <v/>
      </c>
      <c r="R402" t="str">
        <f t="shared" ref="R402:R467" ca="1" si="94">IF(ISNUMBER(K402),IF(INT(K402)=K402,K402,""),"")&amp;IF(ISNUMBER(N402),IF(INT(N402)=N402,N402,""),"")&amp;IF(ISNUMBER(Q402),IF(INT(Q402)=Q402,Q402,""),"")</f>
        <v/>
      </c>
      <c r="T402">
        <f t="shared" ref="T402:T467" si="95">S403-S402</f>
        <v>0</v>
      </c>
      <c r="V402">
        <v>2</v>
      </c>
      <c r="W402" t="str">
        <f t="shared" si="87"/>
        <v/>
      </c>
    </row>
    <row r="403" spans="1:23" outlineLevel="2" x14ac:dyDescent="0.3">
      <c r="A403">
        <v>-34.24</v>
      </c>
      <c r="I403" t="str">
        <f t="shared" si="88"/>
        <v/>
      </c>
      <c r="J403" t="str">
        <f t="shared" si="89"/>
        <v/>
      </c>
      <c r="K403" t="e">
        <f t="shared" si="85"/>
        <v>#N/A</v>
      </c>
      <c r="L403">
        <f t="shared" si="90"/>
        <v>-34.24</v>
      </c>
      <c r="M403" t="str">
        <f t="shared" si="91"/>
        <v/>
      </c>
      <c r="N403" t="e">
        <f t="shared" si="86"/>
        <v>#N/A</v>
      </c>
      <c r="P403">
        <f t="shared" si="92"/>
        <v>2</v>
      </c>
      <c r="Q403" t="str">
        <f t="shared" ca="1" si="93"/>
        <v/>
      </c>
      <c r="R403" t="str">
        <f t="shared" ca="1" si="94"/>
        <v/>
      </c>
      <c r="T403">
        <f t="shared" si="95"/>
        <v>0</v>
      </c>
      <c r="V403">
        <v>2</v>
      </c>
      <c r="W403" t="str">
        <f t="shared" si="87"/>
        <v/>
      </c>
    </row>
    <row r="404" spans="1:23" outlineLevel="2" x14ac:dyDescent="0.3">
      <c r="A404">
        <v>-34.79</v>
      </c>
      <c r="I404" t="str">
        <f t="shared" si="88"/>
        <v/>
      </c>
      <c r="J404" t="str">
        <f t="shared" si="89"/>
        <v/>
      </c>
      <c r="K404" t="e">
        <f t="shared" si="85"/>
        <v>#N/A</v>
      </c>
      <c r="L404">
        <f t="shared" si="90"/>
        <v>-34.79</v>
      </c>
      <c r="M404" t="str">
        <f t="shared" si="91"/>
        <v/>
      </c>
      <c r="N404" t="e">
        <f t="shared" si="86"/>
        <v>#N/A</v>
      </c>
      <c r="P404">
        <f t="shared" si="92"/>
        <v>2</v>
      </c>
      <c r="Q404" t="str">
        <f t="shared" ca="1" si="93"/>
        <v/>
      </c>
      <c r="R404" t="str">
        <f t="shared" ca="1" si="94"/>
        <v/>
      </c>
      <c r="T404">
        <f t="shared" si="95"/>
        <v>0</v>
      </c>
      <c r="V404">
        <v>2</v>
      </c>
      <c r="W404" t="str">
        <f t="shared" si="87"/>
        <v/>
      </c>
    </row>
    <row r="405" spans="1:23" outlineLevel="2" x14ac:dyDescent="0.3">
      <c r="A405">
        <v>-35.71</v>
      </c>
      <c r="I405" t="str">
        <f t="shared" si="88"/>
        <v/>
      </c>
      <c r="J405" t="str">
        <f t="shared" si="89"/>
        <v/>
      </c>
      <c r="K405" t="e">
        <f t="shared" si="85"/>
        <v>#N/A</v>
      </c>
      <c r="L405">
        <f t="shared" si="90"/>
        <v>-35.71</v>
      </c>
      <c r="M405" t="str">
        <f t="shared" si="91"/>
        <v/>
      </c>
      <c r="N405" t="e">
        <f t="shared" si="86"/>
        <v>#N/A</v>
      </c>
      <c r="P405">
        <f t="shared" si="92"/>
        <v>2</v>
      </c>
      <c r="Q405" t="str">
        <f t="shared" ca="1" si="93"/>
        <v/>
      </c>
      <c r="R405" t="str">
        <f t="shared" ca="1" si="94"/>
        <v/>
      </c>
      <c r="T405">
        <f t="shared" si="95"/>
        <v>0</v>
      </c>
      <c r="V405">
        <v>2</v>
      </c>
      <c r="W405" t="str">
        <f t="shared" si="87"/>
        <v/>
      </c>
    </row>
    <row r="406" spans="1:23" outlineLevel="2" x14ac:dyDescent="0.3">
      <c r="A406">
        <v>-35.18</v>
      </c>
      <c r="I406" t="str">
        <f t="shared" si="88"/>
        <v/>
      </c>
      <c r="J406" t="str">
        <f t="shared" si="89"/>
        <v/>
      </c>
      <c r="K406" t="e">
        <f t="shared" si="85"/>
        <v>#N/A</v>
      </c>
      <c r="L406">
        <f t="shared" si="90"/>
        <v>-35.18</v>
      </c>
      <c r="M406" t="str">
        <f t="shared" si="91"/>
        <v/>
      </c>
      <c r="N406" t="e">
        <f t="shared" si="86"/>
        <v>#N/A</v>
      </c>
      <c r="P406">
        <f t="shared" si="92"/>
        <v>2</v>
      </c>
      <c r="Q406" t="str">
        <f t="shared" ca="1" si="93"/>
        <v/>
      </c>
      <c r="R406" t="str">
        <f t="shared" ca="1" si="94"/>
        <v/>
      </c>
      <c r="T406">
        <f t="shared" si="95"/>
        <v>0</v>
      </c>
      <c r="V406">
        <v>2</v>
      </c>
      <c r="W406" t="str">
        <f t="shared" si="87"/>
        <v/>
      </c>
    </row>
    <row r="407" spans="1:23" outlineLevel="2" x14ac:dyDescent="0.3">
      <c r="A407">
        <v>-32.76</v>
      </c>
      <c r="I407" t="str">
        <f t="shared" si="88"/>
        <v/>
      </c>
      <c r="J407" t="str">
        <f t="shared" si="89"/>
        <v/>
      </c>
      <c r="K407" t="e">
        <f t="shared" si="85"/>
        <v>#N/A</v>
      </c>
      <c r="L407">
        <f t="shared" si="90"/>
        <v>-32.76</v>
      </c>
      <c r="M407" t="str">
        <f t="shared" si="91"/>
        <v/>
      </c>
      <c r="N407" t="e">
        <f t="shared" si="86"/>
        <v>#N/A</v>
      </c>
      <c r="P407">
        <f t="shared" si="92"/>
        <v>2</v>
      </c>
      <c r="Q407" t="str">
        <f t="shared" ca="1" si="93"/>
        <v/>
      </c>
      <c r="R407" t="str">
        <f t="shared" ca="1" si="94"/>
        <v/>
      </c>
      <c r="T407">
        <f t="shared" si="95"/>
        <v>0</v>
      </c>
      <c r="V407">
        <v>2</v>
      </c>
      <c r="W407" t="str">
        <f t="shared" si="87"/>
        <v/>
      </c>
    </row>
    <row r="408" spans="1:23" outlineLevel="2" x14ac:dyDescent="0.3">
      <c r="A408">
        <v>-29.3</v>
      </c>
      <c r="I408" t="str">
        <f t="shared" si="88"/>
        <v/>
      </c>
      <c r="J408" t="str">
        <f t="shared" si="89"/>
        <v/>
      </c>
      <c r="K408" t="e">
        <f t="shared" si="85"/>
        <v>#N/A</v>
      </c>
      <c r="L408">
        <f t="shared" si="90"/>
        <v>-29.3</v>
      </c>
      <c r="M408" t="str">
        <f t="shared" si="91"/>
        <v/>
      </c>
      <c r="N408" t="e">
        <f t="shared" si="86"/>
        <v>#N/A</v>
      </c>
      <c r="P408">
        <f t="shared" si="92"/>
        <v>2</v>
      </c>
      <c r="Q408" t="str">
        <f t="shared" ca="1" si="93"/>
        <v/>
      </c>
      <c r="R408" t="str">
        <f t="shared" ca="1" si="94"/>
        <v/>
      </c>
      <c r="T408">
        <f t="shared" si="95"/>
        <v>0</v>
      </c>
      <c r="V408">
        <v>2</v>
      </c>
      <c r="W408" t="str">
        <f t="shared" si="87"/>
        <v/>
      </c>
    </row>
    <row r="409" spans="1:23" outlineLevel="2" x14ac:dyDescent="0.3">
      <c r="A409">
        <v>-27.44</v>
      </c>
      <c r="I409" t="str">
        <f t="shared" si="88"/>
        <v/>
      </c>
      <c r="J409" t="str">
        <f t="shared" si="89"/>
        <v/>
      </c>
      <c r="K409" t="e">
        <f t="shared" si="85"/>
        <v>#N/A</v>
      </c>
      <c r="L409">
        <f t="shared" si="90"/>
        <v>-27.44</v>
      </c>
      <c r="M409" t="str">
        <f t="shared" si="91"/>
        <v/>
      </c>
      <c r="N409" t="e">
        <f t="shared" si="86"/>
        <v>#N/A</v>
      </c>
      <c r="P409">
        <f t="shared" si="92"/>
        <v>2</v>
      </c>
      <c r="Q409" t="str">
        <f t="shared" ca="1" si="93"/>
        <v/>
      </c>
      <c r="R409" t="str">
        <f t="shared" ca="1" si="94"/>
        <v/>
      </c>
      <c r="T409">
        <f t="shared" si="95"/>
        <v>0</v>
      </c>
      <c r="V409">
        <v>2</v>
      </c>
      <c r="W409" t="str">
        <f t="shared" si="87"/>
        <v/>
      </c>
    </row>
    <row r="410" spans="1:23" outlineLevel="2" x14ac:dyDescent="0.3">
      <c r="A410">
        <v>-28.46</v>
      </c>
      <c r="I410" t="str">
        <f t="shared" si="88"/>
        <v/>
      </c>
      <c r="J410" t="str">
        <f t="shared" si="89"/>
        <v/>
      </c>
      <c r="K410" t="e">
        <f t="shared" si="85"/>
        <v>#N/A</v>
      </c>
      <c r="L410">
        <f t="shared" si="90"/>
        <v>-28.46</v>
      </c>
      <c r="M410" t="str">
        <f t="shared" si="91"/>
        <v/>
      </c>
      <c r="N410" t="e">
        <f t="shared" si="86"/>
        <v>#N/A</v>
      </c>
      <c r="P410">
        <f t="shared" si="92"/>
        <v>2</v>
      </c>
      <c r="Q410" t="str">
        <f t="shared" ca="1" si="93"/>
        <v/>
      </c>
      <c r="R410" t="str">
        <f t="shared" ca="1" si="94"/>
        <v/>
      </c>
      <c r="T410">
        <f t="shared" si="95"/>
        <v>0</v>
      </c>
      <c r="V410">
        <v>2</v>
      </c>
      <c r="W410" t="str">
        <f t="shared" si="87"/>
        <v/>
      </c>
    </row>
    <row r="411" spans="1:23" outlineLevel="2" x14ac:dyDescent="0.3">
      <c r="A411">
        <v>-28.72</v>
      </c>
      <c r="I411" t="str">
        <f t="shared" si="88"/>
        <v/>
      </c>
      <c r="J411" t="str">
        <f t="shared" si="89"/>
        <v/>
      </c>
      <c r="K411" t="e">
        <f t="shared" si="85"/>
        <v>#N/A</v>
      </c>
      <c r="L411">
        <f t="shared" si="90"/>
        <v>-28.72</v>
      </c>
      <c r="M411" t="str">
        <f t="shared" si="91"/>
        <v/>
      </c>
      <c r="N411" t="e">
        <f t="shared" si="86"/>
        <v>#N/A</v>
      </c>
      <c r="P411">
        <f t="shared" si="92"/>
        <v>2</v>
      </c>
      <c r="Q411" t="str">
        <f t="shared" ca="1" si="93"/>
        <v/>
      </c>
      <c r="R411" t="str">
        <f t="shared" ca="1" si="94"/>
        <v/>
      </c>
      <c r="T411">
        <f t="shared" si="95"/>
        <v>0</v>
      </c>
      <c r="V411">
        <v>2</v>
      </c>
      <c r="W411" t="str">
        <f t="shared" si="87"/>
        <v/>
      </c>
    </row>
    <row r="412" spans="1:23" outlineLevel="2" x14ac:dyDescent="0.3">
      <c r="A412">
        <v>-25.54</v>
      </c>
      <c r="I412" t="str">
        <f t="shared" si="88"/>
        <v/>
      </c>
      <c r="J412" t="str">
        <f t="shared" si="89"/>
        <v/>
      </c>
      <c r="K412" t="e">
        <f t="shared" si="85"/>
        <v>#N/A</v>
      </c>
      <c r="L412">
        <f t="shared" si="90"/>
        <v>-25.54</v>
      </c>
      <c r="M412" t="str">
        <f t="shared" si="91"/>
        <v/>
      </c>
      <c r="N412" t="e">
        <f t="shared" si="86"/>
        <v>#N/A</v>
      </c>
      <c r="P412">
        <f t="shared" si="92"/>
        <v>2</v>
      </c>
      <c r="Q412" t="str">
        <f t="shared" ca="1" si="93"/>
        <v/>
      </c>
      <c r="R412" t="str">
        <f t="shared" ca="1" si="94"/>
        <v/>
      </c>
      <c r="T412">
        <f t="shared" si="95"/>
        <v>0</v>
      </c>
      <c r="V412">
        <v>2</v>
      </c>
      <c r="W412" t="str">
        <f t="shared" si="87"/>
        <v/>
      </c>
    </row>
    <row r="413" spans="1:23" outlineLevel="2" x14ac:dyDescent="0.3">
      <c r="A413">
        <v>-21.59</v>
      </c>
      <c r="I413" t="str">
        <f t="shared" si="88"/>
        <v/>
      </c>
      <c r="J413" t="str">
        <f t="shared" si="89"/>
        <v/>
      </c>
      <c r="K413" t="e">
        <f t="shared" si="85"/>
        <v>#N/A</v>
      </c>
      <c r="L413">
        <f t="shared" si="90"/>
        <v>-21.59</v>
      </c>
      <c r="M413" t="str">
        <f t="shared" si="91"/>
        <v/>
      </c>
      <c r="N413" t="e">
        <f t="shared" si="86"/>
        <v>#N/A</v>
      </c>
      <c r="P413">
        <f t="shared" si="92"/>
        <v>2</v>
      </c>
      <c r="Q413" t="str">
        <f t="shared" ca="1" si="93"/>
        <v/>
      </c>
      <c r="R413" t="str">
        <f t="shared" ca="1" si="94"/>
        <v/>
      </c>
      <c r="T413">
        <f t="shared" si="95"/>
        <v>0</v>
      </c>
      <c r="V413">
        <v>2</v>
      </c>
      <c r="W413" t="str">
        <f t="shared" si="87"/>
        <v/>
      </c>
    </row>
    <row r="414" spans="1:23" outlineLevel="2" x14ac:dyDescent="0.3">
      <c r="A414">
        <v>-18.48</v>
      </c>
      <c r="I414" t="str">
        <f t="shared" si="88"/>
        <v/>
      </c>
      <c r="J414" t="str">
        <f t="shared" si="89"/>
        <v/>
      </c>
      <c r="K414" t="e">
        <f t="shared" si="85"/>
        <v>#N/A</v>
      </c>
      <c r="L414">
        <f t="shared" si="90"/>
        <v>-18.48</v>
      </c>
      <c r="M414" t="str">
        <f t="shared" si="91"/>
        <v/>
      </c>
      <c r="N414" t="e">
        <f t="shared" si="86"/>
        <v>#N/A</v>
      </c>
      <c r="P414">
        <f t="shared" si="92"/>
        <v>2</v>
      </c>
      <c r="Q414" t="str">
        <f t="shared" ca="1" si="93"/>
        <v/>
      </c>
      <c r="R414" t="str">
        <f t="shared" ca="1" si="94"/>
        <v/>
      </c>
      <c r="T414">
        <f t="shared" si="95"/>
        <v>0</v>
      </c>
      <c r="V414">
        <v>2</v>
      </c>
      <c r="W414" t="str">
        <f t="shared" si="87"/>
        <v/>
      </c>
    </row>
    <row r="415" spans="1:23" outlineLevel="2" x14ac:dyDescent="0.3">
      <c r="A415">
        <v>-16.14</v>
      </c>
      <c r="I415" t="str">
        <f t="shared" si="88"/>
        <v/>
      </c>
      <c r="J415" t="str">
        <f t="shared" si="89"/>
        <v/>
      </c>
      <c r="K415" t="e">
        <f t="shared" si="85"/>
        <v>#N/A</v>
      </c>
      <c r="L415">
        <f t="shared" si="90"/>
        <v>-16.14</v>
      </c>
      <c r="M415" t="str">
        <f t="shared" si="91"/>
        <v/>
      </c>
      <c r="N415" t="e">
        <f t="shared" si="86"/>
        <v>#N/A</v>
      </c>
      <c r="P415">
        <f t="shared" si="92"/>
        <v>2</v>
      </c>
      <c r="Q415" t="str">
        <f t="shared" ca="1" si="93"/>
        <v/>
      </c>
      <c r="R415" t="str">
        <f t="shared" ca="1" si="94"/>
        <v/>
      </c>
      <c r="T415">
        <f t="shared" si="95"/>
        <v>0</v>
      </c>
      <c r="V415">
        <v>2</v>
      </c>
      <c r="W415" t="str">
        <f t="shared" si="87"/>
        <v/>
      </c>
    </row>
    <row r="416" spans="1:23" outlineLevel="2" x14ac:dyDescent="0.3">
      <c r="A416">
        <v>-15.15</v>
      </c>
      <c r="I416" t="str">
        <f t="shared" si="88"/>
        <v/>
      </c>
      <c r="J416" t="str">
        <f t="shared" si="89"/>
        <v/>
      </c>
      <c r="K416" t="e">
        <f t="shared" si="85"/>
        <v>#N/A</v>
      </c>
      <c r="L416">
        <f t="shared" si="90"/>
        <v>-15.15</v>
      </c>
      <c r="M416" t="str">
        <f t="shared" si="91"/>
        <v/>
      </c>
      <c r="N416" t="e">
        <f t="shared" si="86"/>
        <v>#N/A</v>
      </c>
      <c r="P416">
        <f t="shared" si="92"/>
        <v>2</v>
      </c>
      <c r="Q416" t="str">
        <f t="shared" ca="1" si="93"/>
        <v/>
      </c>
      <c r="R416" t="str">
        <f t="shared" ca="1" si="94"/>
        <v/>
      </c>
      <c r="T416">
        <f t="shared" si="95"/>
        <v>0</v>
      </c>
      <c r="V416">
        <v>2</v>
      </c>
      <c r="W416" t="str">
        <f t="shared" si="87"/>
        <v/>
      </c>
    </row>
    <row r="417" spans="1:23" outlineLevel="2" x14ac:dyDescent="0.3">
      <c r="A417">
        <v>-14.26</v>
      </c>
      <c r="I417" t="str">
        <f t="shared" si="88"/>
        <v/>
      </c>
      <c r="J417" t="str">
        <f t="shared" si="89"/>
        <v/>
      </c>
      <c r="K417" t="e">
        <f t="shared" si="85"/>
        <v>#N/A</v>
      </c>
      <c r="L417">
        <f t="shared" si="90"/>
        <v>-14.26</v>
      </c>
      <c r="M417" t="str">
        <f t="shared" si="91"/>
        <v/>
      </c>
      <c r="N417" t="e">
        <f t="shared" si="86"/>
        <v>#N/A</v>
      </c>
      <c r="P417">
        <f t="shared" si="92"/>
        <v>2</v>
      </c>
      <c r="Q417" t="str">
        <f t="shared" ca="1" si="93"/>
        <v/>
      </c>
      <c r="R417" t="str">
        <f t="shared" ca="1" si="94"/>
        <v/>
      </c>
      <c r="T417">
        <f t="shared" si="95"/>
        <v>0</v>
      </c>
      <c r="V417">
        <v>2</v>
      </c>
      <c r="W417" t="str">
        <f t="shared" si="87"/>
        <v/>
      </c>
    </row>
    <row r="418" spans="1:23" outlineLevel="2" x14ac:dyDescent="0.3">
      <c r="A418">
        <v>-12.68</v>
      </c>
      <c r="I418" t="str">
        <f t="shared" si="88"/>
        <v/>
      </c>
      <c r="J418" t="str">
        <f>IF(AND(I419&gt;I418,I419&gt;I421,I419&gt;$D$5),I419,"")</f>
        <v/>
      </c>
      <c r="K418" t="e">
        <f t="shared" si="85"/>
        <v>#N/A</v>
      </c>
      <c r="L418">
        <f t="shared" si="90"/>
        <v>-12.68</v>
      </c>
      <c r="M418" t="str">
        <f>IF(AND(L419&lt;L418,L419&lt;L421,L419&lt;$G$5),L419,"")</f>
        <v/>
      </c>
      <c r="N418" t="e">
        <f t="shared" si="86"/>
        <v>#N/A</v>
      </c>
      <c r="P418">
        <f t="shared" si="92"/>
        <v>2</v>
      </c>
      <c r="Q418" t="str">
        <f t="shared" ca="1" si="93"/>
        <v/>
      </c>
      <c r="R418" t="str">
        <f t="shared" ca="1" si="94"/>
        <v/>
      </c>
      <c r="T418">
        <f t="shared" si="95"/>
        <v>0</v>
      </c>
      <c r="V418">
        <v>2</v>
      </c>
      <c r="W418" t="str">
        <f t="shared" si="87"/>
        <v/>
      </c>
    </row>
    <row r="419" spans="1:23" outlineLevel="2" x14ac:dyDescent="0.3">
      <c r="A419">
        <v>-11.73</v>
      </c>
      <c r="I419" t="str">
        <f t="shared" si="88"/>
        <v/>
      </c>
      <c r="J419" t="str">
        <f>IF(AND(I421&gt;I419,I421&gt;I422,I421&gt;$D$5),I421,"")</f>
        <v/>
      </c>
      <c r="K419" t="e">
        <f t="shared" si="85"/>
        <v>#N/A</v>
      </c>
      <c r="L419">
        <f t="shared" si="90"/>
        <v>-11.73</v>
      </c>
      <c r="M419" t="str">
        <f>IF(AND(L421&lt;L419,L421&lt;L422,L421&lt;$G$5),L421,"")</f>
        <v/>
      </c>
      <c r="N419" t="e">
        <f t="shared" si="86"/>
        <v>#N/A</v>
      </c>
      <c r="P419">
        <f t="shared" si="92"/>
        <v>2</v>
      </c>
      <c r="Q419">
        <f ca="1">IF(AND(A421&gt;=0,A419&lt;0),CELL("ROW",A421),IF(AND(A421&lt;0,A419&gt;=0),CELL("ROW",A421),""))</f>
        <v>421</v>
      </c>
      <c r="R419" t="str">
        <f t="shared" ca="1" si="94"/>
        <v>421</v>
      </c>
      <c r="T419">
        <f>S421-S419</f>
        <v>0</v>
      </c>
      <c r="V419">
        <v>2</v>
      </c>
      <c r="W419" t="str">
        <f t="shared" si="87"/>
        <v/>
      </c>
    </row>
    <row r="420" spans="1:23" outlineLevel="1" x14ac:dyDescent="0.3">
      <c r="O420" s="1" t="s">
        <v>27</v>
      </c>
      <c r="P420">
        <f>SUBTOTAL(3,P384:P419)</f>
        <v>36</v>
      </c>
      <c r="V420">
        <v>36</v>
      </c>
      <c r="W420" t="str">
        <f t="shared" si="87"/>
        <v/>
      </c>
    </row>
    <row r="421" spans="1:23" outlineLevel="2" x14ac:dyDescent="0.3">
      <c r="A421">
        <v>11.89</v>
      </c>
      <c r="I421">
        <f t="shared" si="88"/>
        <v>11.89</v>
      </c>
      <c r="J421" t="str">
        <f t="shared" si="89"/>
        <v/>
      </c>
      <c r="K421" t="e">
        <f t="shared" ref="K421:K456" si="96">MATCH(J421,$A$1:$A$10041,0)</f>
        <v>#N/A</v>
      </c>
      <c r="L421" t="str">
        <f t="shared" si="90"/>
        <v/>
      </c>
      <c r="M421" t="str">
        <f t="shared" si="91"/>
        <v/>
      </c>
      <c r="N421" t="e">
        <f t="shared" ref="N421:N456" si="97">MATCH(M421,$A$1:$A$10041,0)</f>
        <v>#N/A</v>
      </c>
      <c r="P421">
        <f t="shared" si="92"/>
        <v>1</v>
      </c>
      <c r="Q421" t="str">
        <f t="shared" ca="1" si="93"/>
        <v/>
      </c>
      <c r="R421" t="str">
        <f t="shared" ca="1" si="94"/>
        <v/>
      </c>
      <c r="T421">
        <f t="shared" si="95"/>
        <v>0</v>
      </c>
      <c r="V421">
        <v>1</v>
      </c>
      <c r="W421" t="str">
        <f t="shared" si="87"/>
        <v/>
      </c>
    </row>
    <row r="422" spans="1:23" outlineLevel="2" x14ac:dyDescent="0.3">
      <c r="A422">
        <v>13.65</v>
      </c>
      <c r="I422">
        <f t="shared" si="88"/>
        <v>13.65</v>
      </c>
      <c r="J422" t="str">
        <f t="shared" si="89"/>
        <v/>
      </c>
      <c r="K422" t="e">
        <f t="shared" si="96"/>
        <v>#N/A</v>
      </c>
      <c r="L422" t="str">
        <f t="shared" si="90"/>
        <v/>
      </c>
      <c r="M422" t="str">
        <f t="shared" si="91"/>
        <v/>
      </c>
      <c r="N422" t="e">
        <f t="shared" si="97"/>
        <v>#N/A</v>
      </c>
      <c r="P422">
        <f t="shared" si="92"/>
        <v>1</v>
      </c>
      <c r="Q422" t="str">
        <f t="shared" ca="1" si="93"/>
        <v/>
      </c>
      <c r="R422" t="str">
        <f t="shared" ca="1" si="94"/>
        <v/>
      </c>
      <c r="T422">
        <f t="shared" si="95"/>
        <v>0</v>
      </c>
      <c r="V422">
        <v>1</v>
      </c>
      <c r="W422" t="str">
        <f t="shared" si="87"/>
        <v/>
      </c>
    </row>
    <row r="423" spans="1:23" outlineLevel="2" x14ac:dyDescent="0.3">
      <c r="A423">
        <v>15.28</v>
      </c>
      <c r="I423">
        <f t="shared" si="88"/>
        <v>15.28</v>
      </c>
      <c r="J423" t="str">
        <f t="shared" si="89"/>
        <v/>
      </c>
      <c r="K423" t="e">
        <f t="shared" si="96"/>
        <v>#N/A</v>
      </c>
      <c r="L423" t="str">
        <f t="shared" si="90"/>
        <v/>
      </c>
      <c r="M423" t="str">
        <f t="shared" si="91"/>
        <v/>
      </c>
      <c r="N423" t="e">
        <f t="shared" si="97"/>
        <v>#N/A</v>
      </c>
      <c r="P423">
        <f t="shared" si="92"/>
        <v>1</v>
      </c>
      <c r="Q423" t="str">
        <f t="shared" ca="1" si="93"/>
        <v/>
      </c>
      <c r="R423" t="str">
        <f t="shared" ca="1" si="94"/>
        <v/>
      </c>
      <c r="T423">
        <f t="shared" si="95"/>
        <v>0</v>
      </c>
      <c r="V423">
        <v>1</v>
      </c>
      <c r="W423" t="str">
        <f t="shared" si="87"/>
        <v/>
      </c>
    </row>
    <row r="424" spans="1:23" outlineLevel="2" x14ac:dyDescent="0.3">
      <c r="A424">
        <v>17.66</v>
      </c>
      <c r="I424">
        <f t="shared" si="88"/>
        <v>17.66</v>
      </c>
      <c r="J424" t="str">
        <f t="shared" si="89"/>
        <v/>
      </c>
      <c r="K424" t="e">
        <f t="shared" si="96"/>
        <v>#N/A</v>
      </c>
      <c r="L424" t="str">
        <f t="shared" si="90"/>
        <v/>
      </c>
      <c r="M424" t="str">
        <f t="shared" si="91"/>
        <v/>
      </c>
      <c r="N424" t="e">
        <f t="shared" si="97"/>
        <v>#N/A</v>
      </c>
      <c r="P424">
        <f t="shared" si="92"/>
        <v>1</v>
      </c>
      <c r="Q424" t="str">
        <f t="shared" ca="1" si="93"/>
        <v/>
      </c>
      <c r="R424" t="str">
        <f t="shared" ca="1" si="94"/>
        <v/>
      </c>
      <c r="T424">
        <f t="shared" si="95"/>
        <v>0</v>
      </c>
      <c r="V424">
        <v>1</v>
      </c>
      <c r="W424" t="str">
        <f t="shared" si="87"/>
        <v/>
      </c>
    </row>
    <row r="425" spans="1:23" outlineLevel="2" x14ac:dyDescent="0.3">
      <c r="A425">
        <v>20.38</v>
      </c>
      <c r="I425">
        <f t="shared" si="88"/>
        <v>20.38</v>
      </c>
      <c r="J425" t="str">
        <f t="shared" si="89"/>
        <v/>
      </c>
      <c r="K425" t="e">
        <f t="shared" si="96"/>
        <v>#N/A</v>
      </c>
      <c r="L425" t="str">
        <f t="shared" si="90"/>
        <v/>
      </c>
      <c r="M425" t="str">
        <f t="shared" si="91"/>
        <v/>
      </c>
      <c r="N425" t="e">
        <f t="shared" si="97"/>
        <v>#N/A</v>
      </c>
      <c r="P425">
        <f t="shared" si="92"/>
        <v>1</v>
      </c>
      <c r="Q425" t="str">
        <f t="shared" ca="1" si="93"/>
        <v/>
      </c>
      <c r="R425" t="str">
        <f t="shared" ca="1" si="94"/>
        <v/>
      </c>
      <c r="T425">
        <f t="shared" si="95"/>
        <v>0</v>
      </c>
      <c r="V425">
        <v>1</v>
      </c>
      <c r="W425" t="str">
        <f t="shared" si="87"/>
        <v/>
      </c>
    </row>
    <row r="426" spans="1:23" outlineLevel="2" x14ac:dyDescent="0.3">
      <c r="A426">
        <v>23.15</v>
      </c>
      <c r="I426">
        <f t="shared" si="88"/>
        <v>23.15</v>
      </c>
      <c r="J426" t="str">
        <f t="shared" si="89"/>
        <v/>
      </c>
      <c r="K426" t="e">
        <f t="shared" si="96"/>
        <v>#N/A</v>
      </c>
      <c r="L426" t="str">
        <f t="shared" si="90"/>
        <v/>
      </c>
      <c r="M426" t="str">
        <f t="shared" si="91"/>
        <v/>
      </c>
      <c r="N426" t="e">
        <f t="shared" si="97"/>
        <v>#N/A</v>
      </c>
      <c r="P426">
        <f t="shared" si="92"/>
        <v>1</v>
      </c>
      <c r="Q426" t="str">
        <f t="shared" ca="1" si="93"/>
        <v/>
      </c>
      <c r="R426" t="str">
        <f t="shared" ca="1" si="94"/>
        <v/>
      </c>
      <c r="T426">
        <f t="shared" si="95"/>
        <v>0</v>
      </c>
      <c r="V426">
        <v>1</v>
      </c>
      <c r="W426" t="str">
        <f t="shared" si="87"/>
        <v/>
      </c>
    </row>
    <row r="427" spans="1:23" outlineLevel="2" x14ac:dyDescent="0.3">
      <c r="A427">
        <v>24.68</v>
      </c>
      <c r="I427">
        <f t="shared" si="88"/>
        <v>24.68</v>
      </c>
      <c r="J427" t="str">
        <f t="shared" si="89"/>
        <v/>
      </c>
      <c r="K427" t="e">
        <f t="shared" si="96"/>
        <v>#N/A</v>
      </c>
      <c r="L427" t="str">
        <f t="shared" si="90"/>
        <v/>
      </c>
      <c r="M427" t="str">
        <f t="shared" si="91"/>
        <v/>
      </c>
      <c r="N427" t="e">
        <f t="shared" si="97"/>
        <v>#N/A</v>
      </c>
      <c r="P427">
        <f t="shared" si="92"/>
        <v>1</v>
      </c>
      <c r="Q427" t="str">
        <f t="shared" ca="1" si="93"/>
        <v/>
      </c>
      <c r="R427" t="str">
        <f t="shared" ca="1" si="94"/>
        <v/>
      </c>
      <c r="T427">
        <f t="shared" si="95"/>
        <v>0</v>
      </c>
      <c r="V427">
        <v>1</v>
      </c>
      <c r="W427" t="str">
        <f t="shared" si="87"/>
        <v/>
      </c>
    </row>
    <row r="428" spans="1:23" outlineLevel="2" x14ac:dyDescent="0.3">
      <c r="A428">
        <v>23.16</v>
      </c>
      <c r="I428">
        <f t="shared" si="88"/>
        <v>23.16</v>
      </c>
      <c r="J428" t="str">
        <f t="shared" si="89"/>
        <v/>
      </c>
      <c r="K428" t="e">
        <f t="shared" si="96"/>
        <v>#N/A</v>
      </c>
      <c r="L428" t="str">
        <f t="shared" si="90"/>
        <v/>
      </c>
      <c r="M428" t="str">
        <f t="shared" si="91"/>
        <v/>
      </c>
      <c r="N428" t="e">
        <f t="shared" si="97"/>
        <v>#N/A</v>
      </c>
      <c r="P428">
        <f t="shared" si="92"/>
        <v>1</v>
      </c>
      <c r="Q428" t="str">
        <f t="shared" ca="1" si="93"/>
        <v/>
      </c>
      <c r="R428" t="str">
        <f t="shared" ca="1" si="94"/>
        <v/>
      </c>
      <c r="T428">
        <f t="shared" si="95"/>
        <v>0</v>
      </c>
      <c r="V428">
        <v>1</v>
      </c>
      <c r="W428" t="str">
        <f t="shared" si="87"/>
        <v/>
      </c>
    </row>
    <row r="429" spans="1:23" outlineLevel="2" x14ac:dyDescent="0.3">
      <c r="A429">
        <v>19.72</v>
      </c>
      <c r="I429">
        <f t="shared" si="88"/>
        <v>19.72</v>
      </c>
      <c r="J429" t="str">
        <f t="shared" si="89"/>
        <v/>
      </c>
      <c r="K429" t="e">
        <f t="shared" si="96"/>
        <v>#N/A</v>
      </c>
      <c r="L429" t="str">
        <f t="shared" si="90"/>
        <v/>
      </c>
      <c r="M429" t="str">
        <f t="shared" si="91"/>
        <v/>
      </c>
      <c r="N429" t="e">
        <f t="shared" si="97"/>
        <v>#N/A</v>
      </c>
      <c r="P429">
        <f t="shared" si="92"/>
        <v>1</v>
      </c>
      <c r="Q429" t="str">
        <f t="shared" ca="1" si="93"/>
        <v/>
      </c>
      <c r="R429" t="str">
        <f t="shared" ca="1" si="94"/>
        <v/>
      </c>
      <c r="T429">
        <f t="shared" si="95"/>
        <v>0</v>
      </c>
      <c r="V429">
        <v>1</v>
      </c>
      <c r="W429" t="str">
        <f t="shared" si="87"/>
        <v/>
      </c>
    </row>
    <row r="430" spans="1:23" outlineLevel="2" x14ac:dyDescent="0.3">
      <c r="A430">
        <v>18.14</v>
      </c>
      <c r="I430">
        <f t="shared" si="88"/>
        <v>18.14</v>
      </c>
      <c r="J430" t="str">
        <f t="shared" si="89"/>
        <v/>
      </c>
      <c r="K430" t="e">
        <f t="shared" si="96"/>
        <v>#N/A</v>
      </c>
      <c r="L430" t="str">
        <f t="shared" si="90"/>
        <v/>
      </c>
      <c r="M430" t="str">
        <f t="shared" si="91"/>
        <v/>
      </c>
      <c r="N430" t="e">
        <f t="shared" si="97"/>
        <v>#N/A</v>
      </c>
      <c r="P430">
        <f t="shared" si="92"/>
        <v>1</v>
      </c>
      <c r="Q430" t="str">
        <f t="shared" ca="1" si="93"/>
        <v/>
      </c>
      <c r="R430" t="str">
        <f t="shared" ca="1" si="94"/>
        <v/>
      </c>
      <c r="T430">
        <f t="shared" si="95"/>
        <v>0</v>
      </c>
      <c r="V430">
        <v>1</v>
      </c>
      <c r="W430" t="str">
        <f t="shared" si="87"/>
        <v/>
      </c>
    </row>
    <row r="431" spans="1:23" outlineLevel="2" x14ac:dyDescent="0.3">
      <c r="A431">
        <v>19.18</v>
      </c>
      <c r="I431">
        <f t="shared" si="88"/>
        <v>19.18</v>
      </c>
      <c r="J431" t="str">
        <f t="shared" si="89"/>
        <v/>
      </c>
      <c r="K431" t="e">
        <f t="shared" si="96"/>
        <v>#N/A</v>
      </c>
      <c r="L431" t="str">
        <f t="shared" si="90"/>
        <v/>
      </c>
      <c r="M431" t="str">
        <f t="shared" si="91"/>
        <v/>
      </c>
      <c r="N431" t="e">
        <f t="shared" si="97"/>
        <v>#N/A</v>
      </c>
      <c r="P431">
        <f t="shared" si="92"/>
        <v>1</v>
      </c>
      <c r="Q431" t="str">
        <f t="shared" ca="1" si="93"/>
        <v/>
      </c>
      <c r="R431" t="str">
        <f t="shared" ca="1" si="94"/>
        <v/>
      </c>
      <c r="T431">
        <f t="shared" si="95"/>
        <v>0</v>
      </c>
      <c r="V431">
        <v>1</v>
      </c>
      <c r="W431" t="str">
        <f t="shared" si="87"/>
        <v/>
      </c>
    </row>
    <row r="432" spans="1:23" outlineLevel="2" x14ac:dyDescent="0.3">
      <c r="A432">
        <v>20.13</v>
      </c>
      <c r="I432">
        <f t="shared" si="88"/>
        <v>20.13</v>
      </c>
      <c r="J432" t="str">
        <f t="shared" si="89"/>
        <v/>
      </c>
      <c r="K432" t="e">
        <f t="shared" si="96"/>
        <v>#N/A</v>
      </c>
      <c r="L432" t="str">
        <f t="shared" si="90"/>
        <v/>
      </c>
      <c r="M432" t="str">
        <f t="shared" si="91"/>
        <v/>
      </c>
      <c r="N432" t="e">
        <f t="shared" si="97"/>
        <v>#N/A</v>
      </c>
      <c r="P432">
        <f t="shared" si="92"/>
        <v>1</v>
      </c>
      <c r="Q432" t="str">
        <f t="shared" ca="1" si="93"/>
        <v/>
      </c>
      <c r="R432" t="str">
        <f t="shared" ca="1" si="94"/>
        <v/>
      </c>
      <c r="T432">
        <f t="shared" si="95"/>
        <v>0</v>
      </c>
      <c r="V432">
        <v>1</v>
      </c>
      <c r="W432" t="str">
        <f t="shared" si="87"/>
        <v/>
      </c>
    </row>
    <row r="433" spans="1:23" outlineLevel="2" x14ac:dyDescent="0.3">
      <c r="A433">
        <v>20.37</v>
      </c>
      <c r="I433">
        <f t="shared" si="88"/>
        <v>20.37</v>
      </c>
      <c r="J433" t="str">
        <f t="shared" si="89"/>
        <v/>
      </c>
      <c r="K433" t="e">
        <f t="shared" si="96"/>
        <v>#N/A</v>
      </c>
      <c r="L433" t="str">
        <f t="shared" si="90"/>
        <v/>
      </c>
      <c r="M433" t="str">
        <f t="shared" si="91"/>
        <v/>
      </c>
      <c r="N433" t="e">
        <f t="shared" si="97"/>
        <v>#N/A</v>
      </c>
      <c r="P433">
        <f t="shared" si="92"/>
        <v>1</v>
      </c>
      <c r="Q433" t="str">
        <f t="shared" ca="1" si="93"/>
        <v/>
      </c>
      <c r="R433" t="str">
        <f t="shared" ca="1" si="94"/>
        <v/>
      </c>
      <c r="T433">
        <f t="shared" si="95"/>
        <v>0</v>
      </c>
      <c r="V433">
        <v>1</v>
      </c>
      <c r="W433" t="str">
        <f t="shared" si="87"/>
        <v/>
      </c>
    </row>
    <row r="434" spans="1:23" outlineLevel="2" x14ac:dyDescent="0.3">
      <c r="A434">
        <v>21.72</v>
      </c>
      <c r="I434">
        <f t="shared" si="88"/>
        <v>21.72</v>
      </c>
      <c r="J434" t="str">
        <f t="shared" si="89"/>
        <v/>
      </c>
      <c r="K434" t="e">
        <f t="shared" si="96"/>
        <v>#N/A</v>
      </c>
      <c r="L434" t="str">
        <f t="shared" si="90"/>
        <v/>
      </c>
      <c r="M434" t="str">
        <f t="shared" si="91"/>
        <v/>
      </c>
      <c r="N434" t="e">
        <f t="shared" si="97"/>
        <v>#N/A</v>
      </c>
      <c r="P434">
        <f t="shared" si="92"/>
        <v>1</v>
      </c>
      <c r="Q434" t="str">
        <f t="shared" ca="1" si="93"/>
        <v/>
      </c>
      <c r="R434" t="str">
        <f t="shared" ca="1" si="94"/>
        <v/>
      </c>
      <c r="T434">
        <f t="shared" si="95"/>
        <v>0</v>
      </c>
      <c r="V434">
        <v>1</v>
      </c>
      <c r="W434" t="str">
        <f t="shared" si="87"/>
        <v/>
      </c>
    </row>
    <row r="435" spans="1:23" outlineLevel="2" x14ac:dyDescent="0.3">
      <c r="A435">
        <v>26.02</v>
      </c>
      <c r="I435">
        <f t="shared" si="88"/>
        <v>26.02</v>
      </c>
      <c r="J435" t="str">
        <f t="shared" si="89"/>
        <v/>
      </c>
      <c r="K435" t="e">
        <f t="shared" si="96"/>
        <v>#N/A</v>
      </c>
      <c r="L435" t="str">
        <f t="shared" si="90"/>
        <v/>
      </c>
      <c r="M435" t="str">
        <f t="shared" si="91"/>
        <v/>
      </c>
      <c r="N435" t="e">
        <f t="shared" si="97"/>
        <v>#N/A</v>
      </c>
      <c r="P435">
        <f t="shared" si="92"/>
        <v>1</v>
      </c>
      <c r="Q435" t="str">
        <f t="shared" ca="1" si="93"/>
        <v/>
      </c>
      <c r="R435" t="str">
        <f t="shared" ca="1" si="94"/>
        <v/>
      </c>
      <c r="T435">
        <f t="shared" si="95"/>
        <v>0</v>
      </c>
      <c r="V435">
        <v>1</v>
      </c>
      <c r="W435" t="str">
        <f t="shared" si="87"/>
        <v/>
      </c>
    </row>
    <row r="436" spans="1:23" outlineLevel="2" x14ac:dyDescent="0.3">
      <c r="A436">
        <v>31.76</v>
      </c>
      <c r="I436">
        <f t="shared" si="88"/>
        <v>31.76</v>
      </c>
      <c r="J436" t="str">
        <f t="shared" si="89"/>
        <v/>
      </c>
      <c r="K436" t="e">
        <f t="shared" si="96"/>
        <v>#N/A</v>
      </c>
      <c r="L436" t="str">
        <f t="shared" si="90"/>
        <v/>
      </c>
      <c r="M436" t="str">
        <f t="shared" si="91"/>
        <v/>
      </c>
      <c r="N436" t="e">
        <f t="shared" si="97"/>
        <v>#N/A</v>
      </c>
      <c r="P436">
        <f t="shared" si="92"/>
        <v>1</v>
      </c>
      <c r="Q436" t="str">
        <f t="shared" ca="1" si="93"/>
        <v/>
      </c>
      <c r="R436" t="str">
        <f t="shared" ca="1" si="94"/>
        <v/>
      </c>
      <c r="T436">
        <f t="shared" si="95"/>
        <v>0</v>
      </c>
      <c r="V436">
        <v>1</v>
      </c>
      <c r="W436" t="str">
        <f t="shared" si="87"/>
        <v/>
      </c>
    </row>
    <row r="437" spans="1:23" outlineLevel="2" x14ac:dyDescent="0.3">
      <c r="A437">
        <v>33.32</v>
      </c>
      <c r="I437">
        <f t="shared" si="88"/>
        <v>33.32</v>
      </c>
      <c r="J437" t="str">
        <f t="shared" si="89"/>
        <v/>
      </c>
      <c r="K437" t="e">
        <f t="shared" si="96"/>
        <v>#N/A</v>
      </c>
      <c r="L437" t="str">
        <f t="shared" si="90"/>
        <v/>
      </c>
      <c r="M437" t="str">
        <f t="shared" si="91"/>
        <v/>
      </c>
      <c r="N437" t="e">
        <f t="shared" si="97"/>
        <v>#N/A</v>
      </c>
      <c r="P437">
        <f t="shared" si="92"/>
        <v>1</v>
      </c>
      <c r="Q437" t="str">
        <f t="shared" ca="1" si="93"/>
        <v/>
      </c>
      <c r="R437" t="str">
        <f t="shared" ca="1" si="94"/>
        <v/>
      </c>
      <c r="T437">
        <f t="shared" si="95"/>
        <v>0</v>
      </c>
      <c r="V437">
        <v>1</v>
      </c>
      <c r="W437" t="str">
        <f t="shared" si="87"/>
        <v/>
      </c>
    </row>
    <row r="438" spans="1:23" outlineLevel="2" x14ac:dyDescent="0.3">
      <c r="A438">
        <v>29.39</v>
      </c>
      <c r="I438">
        <f t="shared" si="88"/>
        <v>29.39</v>
      </c>
      <c r="J438" t="str">
        <f t="shared" si="89"/>
        <v/>
      </c>
      <c r="K438" t="e">
        <f t="shared" si="96"/>
        <v>#N/A</v>
      </c>
      <c r="L438" t="str">
        <f t="shared" si="90"/>
        <v/>
      </c>
      <c r="M438" t="str">
        <f t="shared" si="91"/>
        <v/>
      </c>
      <c r="N438" t="e">
        <f t="shared" si="97"/>
        <v>#N/A</v>
      </c>
      <c r="P438">
        <f t="shared" si="92"/>
        <v>1</v>
      </c>
      <c r="Q438" t="str">
        <f t="shared" ca="1" si="93"/>
        <v/>
      </c>
      <c r="R438" t="str">
        <f t="shared" ca="1" si="94"/>
        <v/>
      </c>
      <c r="T438">
        <f t="shared" si="95"/>
        <v>0</v>
      </c>
      <c r="V438">
        <v>1</v>
      </c>
      <c r="W438" t="str">
        <f t="shared" si="87"/>
        <v/>
      </c>
    </row>
    <row r="439" spans="1:23" outlineLevel="2" x14ac:dyDescent="0.3">
      <c r="A439">
        <v>27.03</v>
      </c>
      <c r="I439">
        <f t="shared" si="88"/>
        <v>27.03</v>
      </c>
      <c r="J439" t="str">
        <f t="shared" si="89"/>
        <v/>
      </c>
      <c r="K439" t="e">
        <f t="shared" si="96"/>
        <v>#N/A</v>
      </c>
      <c r="L439" t="str">
        <f t="shared" si="90"/>
        <v/>
      </c>
      <c r="M439" t="str">
        <f t="shared" si="91"/>
        <v/>
      </c>
      <c r="N439" t="e">
        <f t="shared" si="97"/>
        <v>#N/A</v>
      </c>
      <c r="P439">
        <f t="shared" si="92"/>
        <v>1</v>
      </c>
      <c r="Q439" t="str">
        <f t="shared" ca="1" si="93"/>
        <v/>
      </c>
      <c r="R439" t="str">
        <f t="shared" ca="1" si="94"/>
        <v/>
      </c>
      <c r="T439">
        <f t="shared" si="95"/>
        <v>0</v>
      </c>
      <c r="V439">
        <v>1</v>
      </c>
      <c r="W439" t="str">
        <f t="shared" si="87"/>
        <v/>
      </c>
    </row>
    <row r="440" spans="1:23" outlineLevel="2" x14ac:dyDescent="0.3">
      <c r="A440">
        <v>28.71</v>
      </c>
      <c r="I440">
        <f t="shared" si="88"/>
        <v>28.71</v>
      </c>
      <c r="J440" t="str">
        <f t="shared" si="89"/>
        <v/>
      </c>
      <c r="K440" t="e">
        <f t="shared" si="96"/>
        <v>#N/A</v>
      </c>
      <c r="L440" t="str">
        <f t="shared" si="90"/>
        <v/>
      </c>
      <c r="M440" t="str">
        <f t="shared" si="91"/>
        <v/>
      </c>
      <c r="N440" t="e">
        <f t="shared" si="97"/>
        <v>#N/A</v>
      </c>
      <c r="P440">
        <f t="shared" si="92"/>
        <v>1</v>
      </c>
      <c r="Q440" t="str">
        <f t="shared" ca="1" si="93"/>
        <v/>
      </c>
      <c r="R440" t="str">
        <f t="shared" ca="1" si="94"/>
        <v/>
      </c>
      <c r="T440">
        <f t="shared" si="95"/>
        <v>0</v>
      </c>
      <c r="V440">
        <v>1</v>
      </c>
      <c r="W440" t="str">
        <f t="shared" si="87"/>
        <v/>
      </c>
    </row>
    <row r="441" spans="1:23" outlineLevel="2" x14ac:dyDescent="0.3">
      <c r="A441">
        <v>29.61</v>
      </c>
      <c r="I441">
        <f t="shared" si="88"/>
        <v>29.61</v>
      </c>
      <c r="J441" t="str">
        <f t="shared" si="89"/>
        <v/>
      </c>
      <c r="K441" t="e">
        <f t="shared" si="96"/>
        <v>#N/A</v>
      </c>
      <c r="L441" t="str">
        <f t="shared" si="90"/>
        <v/>
      </c>
      <c r="M441" t="str">
        <f t="shared" si="91"/>
        <v/>
      </c>
      <c r="N441" t="e">
        <f t="shared" si="97"/>
        <v>#N/A</v>
      </c>
      <c r="P441">
        <f t="shared" si="92"/>
        <v>1</v>
      </c>
      <c r="Q441" t="str">
        <f t="shared" ca="1" si="93"/>
        <v/>
      </c>
      <c r="R441" t="str">
        <f t="shared" ca="1" si="94"/>
        <v/>
      </c>
      <c r="T441">
        <f t="shared" si="95"/>
        <v>0</v>
      </c>
      <c r="V441">
        <v>1</v>
      </c>
      <c r="W441" t="str">
        <f t="shared" si="87"/>
        <v/>
      </c>
    </row>
    <row r="442" spans="1:23" outlineLevel="2" x14ac:dyDescent="0.3">
      <c r="A442">
        <v>28.4</v>
      </c>
      <c r="I442">
        <f t="shared" si="88"/>
        <v>28.4</v>
      </c>
      <c r="J442" t="str">
        <f t="shared" si="89"/>
        <v/>
      </c>
      <c r="K442" t="e">
        <f t="shared" si="96"/>
        <v>#N/A</v>
      </c>
      <c r="L442" t="str">
        <f t="shared" si="90"/>
        <v/>
      </c>
      <c r="M442" t="str">
        <f t="shared" si="91"/>
        <v/>
      </c>
      <c r="N442" t="e">
        <f t="shared" si="97"/>
        <v>#N/A</v>
      </c>
      <c r="P442">
        <f t="shared" si="92"/>
        <v>1</v>
      </c>
      <c r="Q442" t="str">
        <f t="shared" ca="1" si="93"/>
        <v/>
      </c>
      <c r="R442" t="str">
        <f t="shared" ca="1" si="94"/>
        <v/>
      </c>
      <c r="T442">
        <f t="shared" si="95"/>
        <v>0</v>
      </c>
      <c r="V442">
        <v>1</v>
      </c>
      <c r="W442" t="str">
        <f t="shared" si="87"/>
        <v/>
      </c>
    </row>
    <row r="443" spans="1:23" outlineLevel="2" x14ac:dyDescent="0.3">
      <c r="A443">
        <v>27.38</v>
      </c>
      <c r="I443">
        <f t="shared" si="88"/>
        <v>27.38</v>
      </c>
      <c r="J443" t="str">
        <f t="shared" si="89"/>
        <v/>
      </c>
      <c r="K443" t="e">
        <f t="shared" si="96"/>
        <v>#N/A</v>
      </c>
      <c r="L443" t="str">
        <f t="shared" si="90"/>
        <v/>
      </c>
      <c r="M443" t="str">
        <f t="shared" si="91"/>
        <v/>
      </c>
      <c r="N443" t="e">
        <f t="shared" si="97"/>
        <v>#N/A</v>
      </c>
      <c r="P443">
        <f t="shared" si="92"/>
        <v>1</v>
      </c>
      <c r="Q443" t="str">
        <f t="shared" ca="1" si="93"/>
        <v/>
      </c>
      <c r="R443" t="str">
        <f t="shared" ca="1" si="94"/>
        <v/>
      </c>
      <c r="T443">
        <f t="shared" si="95"/>
        <v>0</v>
      </c>
      <c r="V443">
        <v>1</v>
      </c>
      <c r="W443" t="str">
        <f t="shared" si="87"/>
        <v/>
      </c>
    </row>
    <row r="444" spans="1:23" outlineLevel="2" x14ac:dyDescent="0.3">
      <c r="A444">
        <v>27.42</v>
      </c>
      <c r="I444">
        <f t="shared" si="88"/>
        <v>27.42</v>
      </c>
      <c r="J444" t="str">
        <f t="shared" si="89"/>
        <v/>
      </c>
      <c r="K444" t="e">
        <f t="shared" si="96"/>
        <v>#N/A</v>
      </c>
      <c r="L444" t="str">
        <f t="shared" si="90"/>
        <v/>
      </c>
      <c r="M444" t="str">
        <f t="shared" si="91"/>
        <v/>
      </c>
      <c r="N444" t="e">
        <f t="shared" si="97"/>
        <v>#N/A</v>
      </c>
      <c r="P444">
        <f t="shared" si="92"/>
        <v>1</v>
      </c>
      <c r="Q444" t="str">
        <f t="shared" ca="1" si="93"/>
        <v/>
      </c>
      <c r="R444" t="str">
        <f t="shared" ca="1" si="94"/>
        <v/>
      </c>
      <c r="T444">
        <f t="shared" si="95"/>
        <v>0</v>
      </c>
      <c r="V444">
        <v>1</v>
      </c>
      <c r="W444" t="str">
        <f t="shared" si="87"/>
        <v/>
      </c>
    </row>
    <row r="445" spans="1:23" outlineLevel="2" x14ac:dyDescent="0.3">
      <c r="A445">
        <v>28.41</v>
      </c>
      <c r="I445">
        <f t="shared" si="88"/>
        <v>28.41</v>
      </c>
      <c r="J445" t="str">
        <f t="shared" si="89"/>
        <v/>
      </c>
      <c r="K445" t="e">
        <f t="shared" si="96"/>
        <v>#N/A</v>
      </c>
      <c r="L445" t="str">
        <f t="shared" si="90"/>
        <v/>
      </c>
      <c r="M445" t="str">
        <f t="shared" si="91"/>
        <v/>
      </c>
      <c r="N445" t="e">
        <f t="shared" si="97"/>
        <v>#N/A</v>
      </c>
      <c r="P445">
        <f t="shared" si="92"/>
        <v>1</v>
      </c>
      <c r="Q445" t="str">
        <f t="shared" ca="1" si="93"/>
        <v/>
      </c>
      <c r="R445" t="str">
        <f t="shared" ca="1" si="94"/>
        <v/>
      </c>
      <c r="T445">
        <f t="shared" si="95"/>
        <v>0</v>
      </c>
      <c r="V445">
        <v>1</v>
      </c>
      <c r="W445" t="str">
        <f t="shared" si="87"/>
        <v/>
      </c>
    </row>
    <row r="446" spans="1:23" outlineLevel="2" x14ac:dyDescent="0.3">
      <c r="A446">
        <v>29.06</v>
      </c>
      <c r="I446">
        <f t="shared" si="88"/>
        <v>29.06</v>
      </c>
      <c r="J446" t="str">
        <f t="shared" si="89"/>
        <v/>
      </c>
      <c r="K446" t="e">
        <f t="shared" si="96"/>
        <v>#N/A</v>
      </c>
      <c r="L446" t="str">
        <f t="shared" si="90"/>
        <v/>
      </c>
      <c r="M446" t="str">
        <f t="shared" si="91"/>
        <v/>
      </c>
      <c r="N446" t="e">
        <f t="shared" si="97"/>
        <v>#N/A</v>
      </c>
      <c r="P446">
        <f t="shared" si="92"/>
        <v>1</v>
      </c>
      <c r="Q446" t="str">
        <f t="shared" ca="1" si="93"/>
        <v/>
      </c>
      <c r="R446" t="str">
        <f t="shared" ca="1" si="94"/>
        <v/>
      </c>
      <c r="T446">
        <f t="shared" si="95"/>
        <v>0</v>
      </c>
      <c r="V446">
        <v>1</v>
      </c>
      <c r="W446" t="str">
        <f t="shared" si="87"/>
        <v/>
      </c>
    </row>
    <row r="447" spans="1:23" outlineLevel="2" x14ac:dyDescent="0.3">
      <c r="A447">
        <v>26.74</v>
      </c>
      <c r="I447">
        <f t="shared" si="88"/>
        <v>26.74</v>
      </c>
      <c r="J447" t="str">
        <f t="shared" si="89"/>
        <v/>
      </c>
      <c r="K447" t="e">
        <f t="shared" si="96"/>
        <v>#N/A</v>
      </c>
      <c r="L447" t="str">
        <f t="shared" si="90"/>
        <v/>
      </c>
      <c r="M447" t="str">
        <f t="shared" si="91"/>
        <v/>
      </c>
      <c r="N447" t="e">
        <f t="shared" si="97"/>
        <v>#N/A</v>
      </c>
      <c r="P447">
        <f t="shared" si="92"/>
        <v>1</v>
      </c>
      <c r="Q447" t="str">
        <f t="shared" ca="1" si="93"/>
        <v/>
      </c>
      <c r="R447" t="str">
        <f t="shared" ca="1" si="94"/>
        <v/>
      </c>
      <c r="T447">
        <f t="shared" si="95"/>
        <v>0</v>
      </c>
      <c r="V447">
        <v>1</v>
      </c>
      <c r="W447" t="str">
        <f t="shared" si="87"/>
        <v/>
      </c>
    </row>
    <row r="448" spans="1:23" outlineLevel="2" x14ac:dyDescent="0.3">
      <c r="A448">
        <v>21.81</v>
      </c>
      <c r="I448">
        <f t="shared" si="88"/>
        <v>21.81</v>
      </c>
      <c r="J448" t="str">
        <f t="shared" si="89"/>
        <v/>
      </c>
      <c r="K448" t="e">
        <f t="shared" si="96"/>
        <v>#N/A</v>
      </c>
      <c r="L448" t="str">
        <f t="shared" si="90"/>
        <v/>
      </c>
      <c r="M448" t="str">
        <f t="shared" si="91"/>
        <v/>
      </c>
      <c r="N448" t="e">
        <f t="shared" si="97"/>
        <v>#N/A</v>
      </c>
      <c r="P448">
        <f t="shared" si="92"/>
        <v>1</v>
      </c>
      <c r="Q448" t="str">
        <f t="shared" ca="1" si="93"/>
        <v/>
      </c>
      <c r="R448" t="str">
        <f t="shared" ca="1" si="94"/>
        <v/>
      </c>
      <c r="T448">
        <f t="shared" si="95"/>
        <v>0</v>
      </c>
      <c r="V448">
        <v>1</v>
      </c>
      <c r="W448" t="str">
        <f t="shared" si="87"/>
        <v/>
      </c>
    </row>
    <row r="449" spans="1:23" outlineLevel="2" x14ac:dyDescent="0.3">
      <c r="A449">
        <v>17.75</v>
      </c>
      <c r="I449">
        <f t="shared" si="88"/>
        <v>17.75</v>
      </c>
      <c r="J449" t="str">
        <f t="shared" si="89"/>
        <v/>
      </c>
      <c r="K449" t="e">
        <f t="shared" si="96"/>
        <v>#N/A</v>
      </c>
      <c r="L449" t="str">
        <f t="shared" si="90"/>
        <v/>
      </c>
      <c r="M449" t="str">
        <f t="shared" si="91"/>
        <v/>
      </c>
      <c r="N449" t="e">
        <f t="shared" si="97"/>
        <v>#N/A</v>
      </c>
      <c r="P449">
        <f t="shared" si="92"/>
        <v>1</v>
      </c>
      <c r="Q449" t="str">
        <f t="shared" ca="1" si="93"/>
        <v/>
      </c>
      <c r="R449" t="str">
        <f t="shared" ca="1" si="94"/>
        <v/>
      </c>
      <c r="T449">
        <f t="shared" si="95"/>
        <v>0</v>
      </c>
      <c r="V449">
        <v>1</v>
      </c>
      <c r="W449" t="str">
        <f t="shared" si="87"/>
        <v/>
      </c>
    </row>
    <row r="450" spans="1:23" outlineLevel="2" x14ac:dyDescent="0.3">
      <c r="A450">
        <v>15.24</v>
      </c>
      <c r="I450">
        <f t="shared" si="88"/>
        <v>15.24</v>
      </c>
      <c r="J450" t="str">
        <f t="shared" si="89"/>
        <v/>
      </c>
      <c r="K450" t="e">
        <f t="shared" si="96"/>
        <v>#N/A</v>
      </c>
      <c r="L450" t="str">
        <f t="shared" si="90"/>
        <v/>
      </c>
      <c r="M450" t="str">
        <f t="shared" si="91"/>
        <v/>
      </c>
      <c r="N450" t="e">
        <f t="shared" si="97"/>
        <v>#N/A</v>
      </c>
      <c r="P450">
        <f t="shared" si="92"/>
        <v>1</v>
      </c>
      <c r="Q450" t="str">
        <f t="shared" ca="1" si="93"/>
        <v/>
      </c>
      <c r="R450" t="str">
        <f t="shared" ca="1" si="94"/>
        <v/>
      </c>
      <c r="T450">
        <f t="shared" si="95"/>
        <v>0</v>
      </c>
      <c r="V450">
        <v>1</v>
      </c>
      <c r="W450" t="str">
        <f t="shared" si="87"/>
        <v/>
      </c>
    </row>
    <row r="451" spans="1:23" outlineLevel="2" x14ac:dyDescent="0.3">
      <c r="A451">
        <v>11.38</v>
      </c>
      <c r="I451">
        <f t="shared" si="88"/>
        <v>11.38</v>
      </c>
      <c r="J451" t="str">
        <f t="shared" si="89"/>
        <v/>
      </c>
      <c r="K451" t="e">
        <f t="shared" si="96"/>
        <v>#N/A</v>
      </c>
      <c r="L451" t="str">
        <f t="shared" si="90"/>
        <v/>
      </c>
      <c r="M451" t="str">
        <f t="shared" si="91"/>
        <v/>
      </c>
      <c r="N451" t="e">
        <f t="shared" si="97"/>
        <v>#N/A</v>
      </c>
      <c r="P451">
        <f t="shared" si="92"/>
        <v>1</v>
      </c>
      <c r="Q451" t="str">
        <f t="shared" ca="1" si="93"/>
        <v/>
      </c>
      <c r="R451" t="str">
        <f t="shared" ca="1" si="94"/>
        <v/>
      </c>
      <c r="T451">
        <f t="shared" si="95"/>
        <v>0</v>
      </c>
      <c r="V451">
        <v>1</v>
      </c>
      <c r="W451" t="str">
        <f t="shared" ref="W451:W514" si="98">IF(AND(V451&gt;2,V451&lt;20),V451,"")</f>
        <v/>
      </c>
    </row>
    <row r="452" spans="1:23" outlineLevel="2" x14ac:dyDescent="0.3">
      <c r="A452">
        <v>14.95</v>
      </c>
      <c r="I452">
        <f t="shared" si="88"/>
        <v>14.95</v>
      </c>
      <c r="J452" t="str">
        <f t="shared" si="89"/>
        <v/>
      </c>
      <c r="K452" t="e">
        <f t="shared" si="96"/>
        <v>#N/A</v>
      </c>
      <c r="L452" t="str">
        <f t="shared" si="90"/>
        <v/>
      </c>
      <c r="M452" t="str">
        <f t="shared" si="91"/>
        <v/>
      </c>
      <c r="N452" t="e">
        <f t="shared" si="97"/>
        <v>#N/A</v>
      </c>
      <c r="P452">
        <f t="shared" si="92"/>
        <v>1</v>
      </c>
      <c r="Q452" t="str">
        <f t="shared" ca="1" si="93"/>
        <v/>
      </c>
      <c r="R452" t="str">
        <f t="shared" ca="1" si="94"/>
        <v/>
      </c>
      <c r="T452">
        <f t="shared" si="95"/>
        <v>0</v>
      </c>
      <c r="V452">
        <v>1</v>
      </c>
      <c r="W452" t="str">
        <f t="shared" si="98"/>
        <v/>
      </c>
    </row>
    <row r="453" spans="1:23" outlineLevel="2" x14ac:dyDescent="0.3">
      <c r="A453">
        <v>16.12</v>
      </c>
      <c r="I453">
        <f t="shared" si="88"/>
        <v>16.12</v>
      </c>
      <c r="J453" t="str">
        <f t="shared" si="89"/>
        <v/>
      </c>
      <c r="K453" t="e">
        <f t="shared" si="96"/>
        <v>#N/A</v>
      </c>
      <c r="L453" t="str">
        <f t="shared" si="90"/>
        <v/>
      </c>
      <c r="M453" t="str">
        <f t="shared" si="91"/>
        <v/>
      </c>
      <c r="N453" t="e">
        <f t="shared" si="97"/>
        <v>#N/A</v>
      </c>
      <c r="P453">
        <f t="shared" si="92"/>
        <v>1</v>
      </c>
      <c r="Q453" t="str">
        <f t="shared" ca="1" si="93"/>
        <v/>
      </c>
      <c r="R453" t="str">
        <f t="shared" ca="1" si="94"/>
        <v/>
      </c>
      <c r="T453">
        <f t="shared" si="95"/>
        <v>0</v>
      </c>
      <c r="V453">
        <v>1</v>
      </c>
      <c r="W453" t="str">
        <f t="shared" si="98"/>
        <v/>
      </c>
    </row>
    <row r="454" spans="1:23" outlineLevel="2" x14ac:dyDescent="0.3">
      <c r="A454">
        <v>16.649999999999999</v>
      </c>
      <c r="I454">
        <f t="shared" si="88"/>
        <v>16.649999999999999</v>
      </c>
      <c r="J454" t="str">
        <f t="shared" si="89"/>
        <v/>
      </c>
      <c r="K454" t="e">
        <f t="shared" si="96"/>
        <v>#N/A</v>
      </c>
      <c r="L454" t="str">
        <f t="shared" si="90"/>
        <v/>
      </c>
      <c r="M454" t="str">
        <f t="shared" si="91"/>
        <v/>
      </c>
      <c r="N454" t="e">
        <f t="shared" si="97"/>
        <v>#N/A</v>
      </c>
      <c r="P454">
        <f t="shared" si="92"/>
        <v>1</v>
      </c>
      <c r="Q454" t="str">
        <f t="shared" ca="1" si="93"/>
        <v/>
      </c>
      <c r="R454" t="str">
        <f t="shared" ca="1" si="94"/>
        <v/>
      </c>
      <c r="T454">
        <f t="shared" si="95"/>
        <v>0</v>
      </c>
      <c r="V454">
        <v>1</v>
      </c>
      <c r="W454" t="str">
        <f t="shared" si="98"/>
        <v/>
      </c>
    </row>
    <row r="455" spans="1:23" outlineLevel="2" x14ac:dyDescent="0.3">
      <c r="A455">
        <v>15.31</v>
      </c>
      <c r="I455">
        <f t="shared" si="88"/>
        <v>15.31</v>
      </c>
      <c r="J455" t="str">
        <f>IF(AND(I456&gt;I455,I456&gt;I458,I456&gt;$D$5),I456,"")</f>
        <v/>
      </c>
      <c r="K455" t="e">
        <f t="shared" si="96"/>
        <v>#N/A</v>
      </c>
      <c r="L455" t="str">
        <f t="shared" si="90"/>
        <v/>
      </c>
      <c r="M455" t="str">
        <f>IF(AND(L456&lt;L455,L456&lt;L458,L456&lt;$G$5),L456,"")</f>
        <v/>
      </c>
      <c r="N455" t="e">
        <f t="shared" si="97"/>
        <v>#N/A</v>
      </c>
      <c r="P455">
        <f t="shared" si="92"/>
        <v>1</v>
      </c>
      <c r="Q455" t="str">
        <f t="shared" ca="1" si="93"/>
        <v/>
      </c>
      <c r="R455" t="str">
        <f t="shared" ca="1" si="94"/>
        <v/>
      </c>
      <c r="T455">
        <f t="shared" si="95"/>
        <v>0</v>
      </c>
      <c r="V455">
        <v>1</v>
      </c>
      <c r="W455" t="str">
        <f t="shared" si="98"/>
        <v/>
      </c>
    </row>
    <row r="456" spans="1:23" outlineLevel="2" x14ac:dyDescent="0.3">
      <c r="A456">
        <v>12.1</v>
      </c>
      <c r="I456">
        <f t="shared" si="88"/>
        <v>12.1</v>
      </c>
      <c r="J456" t="str">
        <f>IF(AND(I458&gt;I456,I458&gt;I459,I458&gt;$D$5),I458,"")</f>
        <v/>
      </c>
      <c r="K456" t="e">
        <f t="shared" si="96"/>
        <v>#N/A</v>
      </c>
      <c r="L456" t="str">
        <f t="shared" si="90"/>
        <v/>
      </c>
      <c r="M456" t="str">
        <f>IF(AND(L458&lt;L456,L458&lt;L459,L458&lt;$G$5),L458,"")</f>
        <v/>
      </c>
      <c r="N456" t="e">
        <f t="shared" si="97"/>
        <v>#N/A</v>
      </c>
      <c r="P456">
        <f t="shared" si="92"/>
        <v>1</v>
      </c>
      <c r="Q456">
        <f ca="1">IF(AND(A458&gt;=0,A456&lt;0),CELL("ROW",A458),IF(AND(A458&lt;0,A456&gt;=0),CELL("ROW",A458),""))</f>
        <v>458</v>
      </c>
      <c r="R456" t="str">
        <f t="shared" ca="1" si="94"/>
        <v>458</v>
      </c>
      <c r="T456">
        <f>S458-S456</f>
        <v>0</v>
      </c>
      <c r="V456">
        <v>1</v>
      </c>
      <c r="W456" t="str">
        <f t="shared" si="98"/>
        <v/>
      </c>
    </row>
    <row r="457" spans="1:23" outlineLevel="1" x14ac:dyDescent="0.3">
      <c r="O457" s="1" t="s">
        <v>26</v>
      </c>
      <c r="P457">
        <f>SUBTOTAL(3,P421:P456)</f>
        <v>36</v>
      </c>
      <c r="V457">
        <v>36</v>
      </c>
      <c r="W457" t="str">
        <f t="shared" si="98"/>
        <v/>
      </c>
    </row>
    <row r="458" spans="1:23" outlineLevel="2" x14ac:dyDescent="0.3">
      <c r="A458">
        <v>-11.96</v>
      </c>
      <c r="I458" t="str">
        <f t="shared" si="88"/>
        <v/>
      </c>
      <c r="J458" t="str">
        <f t="shared" si="89"/>
        <v/>
      </c>
      <c r="K458" t="e">
        <f t="shared" ref="K458:K492" si="99">MATCH(J458,$A$1:$A$10041,0)</f>
        <v>#N/A</v>
      </c>
      <c r="L458">
        <f t="shared" si="90"/>
        <v>-11.96</v>
      </c>
      <c r="M458" t="str">
        <f t="shared" si="91"/>
        <v/>
      </c>
      <c r="N458" t="e">
        <f t="shared" ref="N458:N492" si="100">MATCH(M458,$A$1:$A$10041,0)</f>
        <v>#N/A</v>
      </c>
      <c r="P458">
        <f t="shared" si="92"/>
        <v>2</v>
      </c>
      <c r="Q458" t="str">
        <f t="shared" ca="1" si="93"/>
        <v/>
      </c>
      <c r="R458" t="str">
        <f t="shared" ca="1" si="94"/>
        <v/>
      </c>
      <c r="T458">
        <f t="shared" si="95"/>
        <v>0</v>
      </c>
      <c r="V458">
        <v>2</v>
      </c>
      <c r="W458" t="str">
        <f t="shared" si="98"/>
        <v/>
      </c>
    </row>
    <row r="459" spans="1:23" outlineLevel="2" x14ac:dyDescent="0.3">
      <c r="A459">
        <v>-14.63</v>
      </c>
      <c r="I459" t="str">
        <f t="shared" si="88"/>
        <v/>
      </c>
      <c r="J459" t="str">
        <f t="shared" si="89"/>
        <v/>
      </c>
      <c r="K459" t="e">
        <f t="shared" si="99"/>
        <v>#N/A</v>
      </c>
      <c r="L459">
        <f t="shared" si="90"/>
        <v>-14.63</v>
      </c>
      <c r="M459" t="str">
        <f t="shared" si="91"/>
        <v/>
      </c>
      <c r="N459" t="e">
        <f t="shared" si="100"/>
        <v>#N/A</v>
      </c>
      <c r="P459">
        <f t="shared" si="92"/>
        <v>2</v>
      </c>
      <c r="Q459" t="str">
        <f t="shared" ca="1" si="93"/>
        <v/>
      </c>
      <c r="R459" t="str">
        <f t="shared" ca="1" si="94"/>
        <v/>
      </c>
      <c r="T459">
        <f t="shared" si="95"/>
        <v>0</v>
      </c>
      <c r="V459">
        <v>2</v>
      </c>
      <c r="W459" t="str">
        <f t="shared" si="98"/>
        <v/>
      </c>
    </row>
    <row r="460" spans="1:23" outlineLevel="2" x14ac:dyDescent="0.3">
      <c r="A460">
        <v>-18.02</v>
      </c>
      <c r="I460" t="str">
        <f t="shared" si="88"/>
        <v/>
      </c>
      <c r="J460" t="str">
        <f t="shared" si="89"/>
        <v/>
      </c>
      <c r="K460" t="e">
        <f t="shared" si="99"/>
        <v>#N/A</v>
      </c>
      <c r="L460">
        <f t="shared" si="90"/>
        <v>-18.02</v>
      </c>
      <c r="M460" t="str">
        <f t="shared" si="91"/>
        <v/>
      </c>
      <c r="N460" t="e">
        <f t="shared" si="100"/>
        <v>#N/A</v>
      </c>
      <c r="P460">
        <f t="shared" si="92"/>
        <v>2</v>
      </c>
      <c r="Q460" t="str">
        <f t="shared" ca="1" si="93"/>
        <v/>
      </c>
      <c r="R460" t="str">
        <f t="shared" ca="1" si="94"/>
        <v/>
      </c>
      <c r="T460">
        <f t="shared" si="95"/>
        <v>0</v>
      </c>
      <c r="V460">
        <v>2</v>
      </c>
      <c r="W460" t="str">
        <f t="shared" si="98"/>
        <v/>
      </c>
    </row>
    <row r="461" spans="1:23" outlineLevel="2" x14ac:dyDescent="0.3">
      <c r="A461">
        <v>-19.55</v>
      </c>
      <c r="I461" t="str">
        <f t="shared" si="88"/>
        <v/>
      </c>
      <c r="J461" t="str">
        <f t="shared" si="89"/>
        <v/>
      </c>
      <c r="K461" t="e">
        <f t="shared" si="99"/>
        <v>#N/A</v>
      </c>
      <c r="L461">
        <f t="shared" si="90"/>
        <v>-19.55</v>
      </c>
      <c r="M461" t="str">
        <f t="shared" si="91"/>
        <v/>
      </c>
      <c r="N461" t="e">
        <f t="shared" si="100"/>
        <v>#N/A</v>
      </c>
      <c r="P461">
        <f t="shared" si="92"/>
        <v>2</v>
      </c>
      <c r="Q461" t="str">
        <f t="shared" ca="1" si="93"/>
        <v/>
      </c>
      <c r="R461" t="str">
        <f t="shared" ca="1" si="94"/>
        <v/>
      </c>
      <c r="T461">
        <f t="shared" si="95"/>
        <v>0</v>
      </c>
      <c r="V461">
        <v>2</v>
      </c>
      <c r="W461" t="str">
        <f t="shared" si="98"/>
        <v/>
      </c>
    </row>
    <row r="462" spans="1:23" outlineLevel="2" x14ac:dyDescent="0.3">
      <c r="A462">
        <v>-18.13</v>
      </c>
      <c r="I462" t="str">
        <f t="shared" si="88"/>
        <v/>
      </c>
      <c r="J462" t="str">
        <f t="shared" si="89"/>
        <v/>
      </c>
      <c r="K462" t="e">
        <f t="shared" si="99"/>
        <v>#N/A</v>
      </c>
      <c r="L462">
        <f t="shared" si="90"/>
        <v>-18.13</v>
      </c>
      <c r="M462" t="str">
        <f t="shared" si="91"/>
        <v/>
      </c>
      <c r="N462" t="e">
        <f t="shared" si="100"/>
        <v>#N/A</v>
      </c>
      <c r="P462">
        <f t="shared" si="92"/>
        <v>2</v>
      </c>
      <c r="Q462" t="str">
        <f t="shared" ca="1" si="93"/>
        <v/>
      </c>
      <c r="R462" t="str">
        <f t="shared" ca="1" si="94"/>
        <v/>
      </c>
      <c r="T462">
        <f t="shared" si="95"/>
        <v>0</v>
      </c>
      <c r="V462">
        <v>2</v>
      </c>
      <c r="W462" t="str">
        <f t="shared" si="98"/>
        <v/>
      </c>
    </row>
    <row r="463" spans="1:23" outlineLevel="2" x14ac:dyDescent="0.3">
      <c r="A463">
        <v>-17.059999999999999</v>
      </c>
      <c r="I463" t="str">
        <f t="shared" si="88"/>
        <v/>
      </c>
      <c r="J463" t="str">
        <f t="shared" si="89"/>
        <v/>
      </c>
      <c r="K463" t="e">
        <f t="shared" si="99"/>
        <v>#N/A</v>
      </c>
      <c r="L463">
        <f t="shared" si="90"/>
        <v>-17.059999999999999</v>
      </c>
      <c r="M463" t="str">
        <f t="shared" si="91"/>
        <v/>
      </c>
      <c r="N463" t="e">
        <f t="shared" si="100"/>
        <v>#N/A</v>
      </c>
      <c r="P463">
        <f t="shared" si="92"/>
        <v>2</v>
      </c>
      <c r="Q463" t="str">
        <f t="shared" ca="1" si="93"/>
        <v/>
      </c>
      <c r="R463" t="str">
        <f t="shared" ca="1" si="94"/>
        <v/>
      </c>
      <c r="T463">
        <f t="shared" si="95"/>
        <v>0</v>
      </c>
      <c r="V463">
        <v>2</v>
      </c>
      <c r="W463" t="str">
        <f t="shared" si="98"/>
        <v/>
      </c>
    </row>
    <row r="464" spans="1:23" outlineLevel="2" x14ac:dyDescent="0.3">
      <c r="A464">
        <v>-18.46</v>
      </c>
      <c r="I464" t="str">
        <f t="shared" si="88"/>
        <v/>
      </c>
      <c r="J464" t="str">
        <f t="shared" si="89"/>
        <v/>
      </c>
      <c r="K464" t="e">
        <f t="shared" si="99"/>
        <v>#N/A</v>
      </c>
      <c r="L464">
        <f t="shared" si="90"/>
        <v>-18.46</v>
      </c>
      <c r="M464" t="str">
        <f t="shared" si="91"/>
        <v/>
      </c>
      <c r="N464" t="e">
        <f t="shared" si="100"/>
        <v>#N/A</v>
      </c>
      <c r="P464">
        <f t="shared" si="92"/>
        <v>2</v>
      </c>
      <c r="Q464" t="str">
        <f t="shared" ca="1" si="93"/>
        <v/>
      </c>
      <c r="R464" t="str">
        <f t="shared" ca="1" si="94"/>
        <v/>
      </c>
      <c r="T464">
        <f t="shared" si="95"/>
        <v>0</v>
      </c>
      <c r="V464">
        <v>2</v>
      </c>
      <c r="W464" t="str">
        <f t="shared" si="98"/>
        <v/>
      </c>
    </row>
    <row r="465" spans="1:23" outlineLevel="2" x14ac:dyDescent="0.3">
      <c r="A465">
        <v>-21.01</v>
      </c>
      <c r="I465" t="str">
        <f t="shared" si="88"/>
        <v/>
      </c>
      <c r="J465" t="str">
        <f t="shared" si="89"/>
        <v/>
      </c>
      <c r="K465" t="e">
        <f t="shared" si="99"/>
        <v>#N/A</v>
      </c>
      <c r="L465">
        <f t="shared" si="90"/>
        <v>-21.01</v>
      </c>
      <c r="M465" t="str">
        <f t="shared" si="91"/>
        <v/>
      </c>
      <c r="N465" t="e">
        <f t="shared" si="100"/>
        <v>#N/A</v>
      </c>
      <c r="P465">
        <f t="shared" si="92"/>
        <v>2</v>
      </c>
      <c r="Q465" t="str">
        <f t="shared" ca="1" si="93"/>
        <v/>
      </c>
      <c r="R465" t="str">
        <f t="shared" ca="1" si="94"/>
        <v/>
      </c>
      <c r="T465">
        <f t="shared" si="95"/>
        <v>0</v>
      </c>
      <c r="V465">
        <v>2</v>
      </c>
      <c r="W465" t="str">
        <f t="shared" si="98"/>
        <v/>
      </c>
    </row>
    <row r="466" spans="1:23" outlineLevel="2" x14ac:dyDescent="0.3">
      <c r="A466">
        <v>-21.67</v>
      </c>
      <c r="I466" t="str">
        <f t="shared" si="88"/>
        <v/>
      </c>
      <c r="J466" t="str">
        <f t="shared" si="89"/>
        <v/>
      </c>
      <c r="K466" t="e">
        <f t="shared" si="99"/>
        <v>#N/A</v>
      </c>
      <c r="L466">
        <f t="shared" si="90"/>
        <v>-21.67</v>
      </c>
      <c r="M466" t="str">
        <f t="shared" si="91"/>
        <v/>
      </c>
      <c r="N466" t="e">
        <f t="shared" si="100"/>
        <v>#N/A</v>
      </c>
      <c r="P466">
        <f t="shared" si="92"/>
        <v>2</v>
      </c>
      <c r="Q466" t="str">
        <f t="shared" ca="1" si="93"/>
        <v/>
      </c>
      <c r="R466" t="str">
        <f t="shared" ca="1" si="94"/>
        <v/>
      </c>
      <c r="T466">
        <f t="shared" si="95"/>
        <v>0</v>
      </c>
      <c r="V466">
        <v>2</v>
      </c>
      <c r="W466" t="str">
        <f t="shared" si="98"/>
        <v/>
      </c>
    </row>
    <row r="467" spans="1:23" outlineLevel="2" x14ac:dyDescent="0.3">
      <c r="A467">
        <v>-18.489999999999998</v>
      </c>
      <c r="I467" t="str">
        <f t="shared" si="88"/>
        <v/>
      </c>
      <c r="J467" t="str">
        <f t="shared" si="89"/>
        <v/>
      </c>
      <c r="K467" t="e">
        <f t="shared" si="99"/>
        <v>#N/A</v>
      </c>
      <c r="L467">
        <f t="shared" si="90"/>
        <v>-18.489999999999998</v>
      </c>
      <c r="M467" t="str">
        <f t="shared" si="91"/>
        <v/>
      </c>
      <c r="N467" t="e">
        <f t="shared" si="100"/>
        <v>#N/A</v>
      </c>
      <c r="P467">
        <f t="shared" si="92"/>
        <v>2</v>
      </c>
      <c r="Q467" t="str">
        <f t="shared" ca="1" si="93"/>
        <v/>
      </c>
      <c r="R467" t="str">
        <f t="shared" ca="1" si="94"/>
        <v/>
      </c>
      <c r="T467">
        <f t="shared" si="95"/>
        <v>0</v>
      </c>
      <c r="V467">
        <v>2</v>
      </c>
      <c r="W467" t="str">
        <f t="shared" si="98"/>
        <v/>
      </c>
    </row>
    <row r="468" spans="1:23" outlineLevel="2" x14ac:dyDescent="0.3">
      <c r="A468">
        <v>-15.98</v>
      </c>
      <c r="I468" t="str">
        <f t="shared" ref="I468:I534" si="101">IF(A468&gt;0,A468,"")</f>
        <v/>
      </c>
      <c r="J468" t="str">
        <f t="shared" ref="J468:J534" si="102">IF(AND(I469&gt;I468,I469&gt;I470,I469&gt;$D$5),I469,"")</f>
        <v/>
      </c>
      <c r="K468" t="e">
        <f t="shared" si="99"/>
        <v>#N/A</v>
      </c>
      <c r="L468">
        <f t="shared" ref="L468:L534" si="103">IF(A468&lt;0,A468,"")</f>
        <v>-15.98</v>
      </c>
      <c r="M468" t="str">
        <f t="shared" ref="M468:M534" si="104">IF(AND(L469&lt;L468,L469&lt;L470,L469&lt;$G$5),L469,"")</f>
        <v/>
      </c>
      <c r="N468" t="e">
        <f t="shared" si="100"/>
        <v>#N/A</v>
      </c>
      <c r="P468">
        <f t="shared" ref="P468:P534" si="105">IF(A468&gt;0,1,2)</f>
        <v>2</v>
      </c>
      <c r="Q468" t="str">
        <f t="shared" ref="Q468:Q534" ca="1" si="106">IF(AND(A469&gt;=0,A468&lt;0),CELL("ROW",A469),IF(AND(A469&lt;0,A468&gt;=0),CELL("ROW",A469),""))</f>
        <v/>
      </c>
      <c r="R468" t="str">
        <f t="shared" ref="R468:R534" ca="1" si="107">IF(ISNUMBER(K468),IF(INT(K468)=K468,K468,""),"")&amp;IF(ISNUMBER(N468),IF(INT(N468)=N468,N468,""),"")&amp;IF(ISNUMBER(Q468),IF(INT(Q468)=Q468,Q468,""),"")</f>
        <v/>
      </c>
      <c r="T468">
        <f t="shared" ref="T468:T534" si="108">S469-S468</f>
        <v>0</v>
      </c>
      <c r="V468">
        <v>2</v>
      </c>
      <c r="W468" t="str">
        <f t="shared" si="98"/>
        <v/>
      </c>
    </row>
    <row r="469" spans="1:23" outlineLevel="2" x14ac:dyDescent="0.3">
      <c r="A469">
        <v>-18.95</v>
      </c>
      <c r="I469" t="str">
        <f t="shared" si="101"/>
        <v/>
      </c>
      <c r="J469" t="str">
        <f t="shared" si="102"/>
        <v/>
      </c>
      <c r="K469" t="e">
        <f t="shared" si="99"/>
        <v>#N/A</v>
      </c>
      <c r="L469">
        <f t="shared" si="103"/>
        <v>-18.95</v>
      </c>
      <c r="M469" t="str">
        <f t="shared" si="104"/>
        <v/>
      </c>
      <c r="N469" t="e">
        <f t="shared" si="100"/>
        <v>#N/A</v>
      </c>
      <c r="P469">
        <f t="shared" si="105"/>
        <v>2</v>
      </c>
      <c r="Q469" t="str">
        <f t="shared" ca="1" si="106"/>
        <v/>
      </c>
      <c r="R469" t="str">
        <f t="shared" ca="1" si="107"/>
        <v/>
      </c>
      <c r="T469">
        <f t="shared" si="108"/>
        <v>0</v>
      </c>
      <c r="V469">
        <v>2</v>
      </c>
      <c r="W469" t="str">
        <f t="shared" si="98"/>
        <v/>
      </c>
    </row>
    <row r="470" spans="1:23" outlineLevel="2" x14ac:dyDescent="0.3">
      <c r="A470">
        <v>-23.07</v>
      </c>
      <c r="I470" t="str">
        <f t="shared" si="101"/>
        <v/>
      </c>
      <c r="J470" t="str">
        <f t="shared" si="102"/>
        <v/>
      </c>
      <c r="K470" t="e">
        <f t="shared" si="99"/>
        <v>#N/A</v>
      </c>
      <c r="L470">
        <f t="shared" si="103"/>
        <v>-23.07</v>
      </c>
      <c r="M470" t="str">
        <f t="shared" si="104"/>
        <v/>
      </c>
      <c r="N470" t="e">
        <f t="shared" si="100"/>
        <v>#N/A</v>
      </c>
      <c r="P470">
        <f t="shared" si="105"/>
        <v>2</v>
      </c>
      <c r="Q470" t="str">
        <f t="shared" ca="1" si="106"/>
        <v/>
      </c>
      <c r="R470" t="str">
        <f t="shared" ca="1" si="107"/>
        <v/>
      </c>
      <c r="T470">
        <f t="shared" si="108"/>
        <v>0</v>
      </c>
      <c r="V470">
        <v>2</v>
      </c>
      <c r="W470" t="str">
        <f t="shared" si="98"/>
        <v/>
      </c>
    </row>
    <row r="471" spans="1:23" outlineLevel="2" x14ac:dyDescent="0.3">
      <c r="A471">
        <v>-22.58</v>
      </c>
      <c r="I471" t="str">
        <f t="shared" si="101"/>
        <v/>
      </c>
      <c r="J471" t="str">
        <f t="shared" si="102"/>
        <v/>
      </c>
      <c r="K471" t="e">
        <f t="shared" si="99"/>
        <v>#N/A</v>
      </c>
      <c r="L471">
        <f t="shared" si="103"/>
        <v>-22.58</v>
      </c>
      <c r="M471" t="str">
        <f t="shared" si="104"/>
        <v/>
      </c>
      <c r="N471" t="e">
        <f t="shared" si="100"/>
        <v>#N/A</v>
      </c>
      <c r="P471">
        <f t="shared" si="105"/>
        <v>2</v>
      </c>
      <c r="Q471" t="str">
        <f t="shared" ca="1" si="106"/>
        <v/>
      </c>
      <c r="R471" t="str">
        <f t="shared" ca="1" si="107"/>
        <v/>
      </c>
      <c r="T471">
        <f t="shared" si="108"/>
        <v>0</v>
      </c>
      <c r="V471">
        <v>2</v>
      </c>
      <c r="W471" t="str">
        <f t="shared" si="98"/>
        <v/>
      </c>
    </row>
    <row r="472" spans="1:23" outlineLevel="2" x14ac:dyDescent="0.3">
      <c r="A472">
        <v>-19.86</v>
      </c>
      <c r="I472" t="str">
        <f t="shared" si="101"/>
        <v/>
      </c>
      <c r="J472" t="str">
        <f t="shared" si="102"/>
        <v/>
      </c>
      <c r="K472" t="e">
        <f t="shared" si="99"/>
        <v>#N/A</v>
      </c>
      <c r="L472">
        <f t="shared" si="103"/>
        <v>-19.86</v>
      </c>
      <c r="M472" t="str">
        <f t="shared" si="104"/>
        <v/>
      </c>
      <c r="N472" t="e">
        <f t="shared" si="100"/>
        <v>#N/A</v>
      </c>
      <c r="P472">
        <f t="shared" si="105"/>
        <v>2</v>
      </c>
      <c r="Q472" t="str">
        <f t="shared" ca="1" si="106"/>
        <v/>
      </c>
      <c r="R472" t="str">
        <f t="shared" ca="1" si="107"/>
        <v/>
      </c>
      <c r="T472">
        <f t="shared" si="108"/>
        <v>0</v>
      </c>
      <c r="V472">
        <v>2</v>
      </c>
      <c r="W472" t="str">
        <f t="shared" si="98"/>
        <v/>
      </c>
    </row>
    <row r="473" spans="1:23" outlineLevel="2" x14ac:dyDescent="0.3">
      <c r="A473">
        <v>-18.79</v>
      </c>
      <c r="I473" t="str">
        <f t="shared" si="101"/>
        <v/>
      </c>
      <c r="J473" t="str">
        <f t="shared" si="102"/>
        <v/>
      </c>
      <c r="K473" t="e">
        <f t="shared" si="99"/>
        <v>#N/A</v>
      </c>
      <c r="L473">
        <f t="shared" si="103"/>
        <v>-18.79</v>
      </c>
      <c r="M473" t="str">
        <f t="shared" si="104"/>
        <v/>
      </c>
      <c r="N473" t="e">
        <f t="shared" si="100"/>
        <v>#N/A</v>
      </c>
      <c r="P473">
        <f t="shared" si="105"/>
        <v>2</v>
      </c>
      <c r="Q473" t="str">
        <f t="shared" ca="1" si="106"/>
        <v/>
      </c>
      <c r="R473" t="str">
        <f t="shared" ca="1" si="107"/>
        <v/>
      </c>
      <c r="T473">
        <f t="shared" si="108"/>
        <v>0</v>
      </c>
      <c r="V473">
        <v>2</v>
      </c>
      <c r="W473" t="str">
        <f t="shared" si="98"/>
        <v/>
      </c>
    </row>
    <row r="474" spans="1:23" outlineLevel="2" x14ac:dyDescent="0.3">
      <c r="A474">
        <v>-19.09</v>
      </c>
      <c r="I474" t="str">
        <f t="shared" si="101"/>
        <v/>
      </c>
      <c r="J474" t="str">
        <f t="shared" si="102"/>
        <v/>
      </c>
      <c r="K474" t="e">
        <f t="shared" si="99"/>
        <v>#N/A</v>
      </c>
      <c r="L474">
        <f t="shared" si="103"/>
        <v>-19.09</v>
      </c>
      <c r="M474" t="str">
        <f t="shared" si="104"/>
        <v/>
      </c>
      <c r="N474" t="e">
        <f t="shared" si="100"/>
        <v>#N/A</v>
      </c>
      <c r="P474">
        <f t="shared" si="105"/>
        <v>2</v>
      </c>
      <c r="Q474" t="str">
        <f t="shared" ca="1" si="106"/>
        <v/>
      </c>
      <c r="R474" t="str">
        <f t="shared" ca="1" si="107"/>
        <v/>
      </c>
      <c r="T474">
        <f t="shared" si="108"/>
        <v>0</v>
      </c>
      <c r="V474">
        <v>2</v>
      </c>
      <c r="W474" t="str">
        <f t="shared" si="98"/>
        <v/>
      </c>
    </row>
    <row r="475" spans="1:23" outlineLevel="2" x14ac:dyDescent="0.3">
      <c r="A475">
        <v>-18.71</v>
      </c>
      <c r="I475" t="str">
        <f t="shared" si="101"/>
        <v/>
      </c>
      <c r="J475" t="str">
        <f t="shared" si="102"/>
        <v/>
      </c>
      <c r="K475" t="e">
        <f t="shared" si="99"/>
        <v>#N/A</v>
      </c>
      <c r="L475">
        <f t="shared" si="103"/>
        <v>-18.71</v>
      </c>
      <c r="M475" t="str">
        <f t="shared" si="104"/>
        <v/>
      </c>
      <c r="N475" t="e">
        <f t="shared" si="100"/>
        <v>#N/A</v>
      </c>
      <c r="P475">
        <f t="shared" si="105"/>
        <v>2</v>
      </c>
      <c r="Q475" t="str">
        <f t="shared" ca="1" si="106"/>
        <v/>
      </c>
      <c r="R475" t="str">
        <f t="shared" ca="1" si="107"/>
        <v/>
      </c>
      <c r="T475">
        <f t="shared" si="108"/>
        <v>0</v>
      </c>
      <c r="V475">
        <v>2</v>
      </c>
      <c r="W475" t="str">
        <f t="shared" si="98"/>
        <v/>
      </c>
    </row>
    <row r="476" spans="1:23" outlineLevel="2" x14ac:dyDescent="0.3">
      <c r="A476">
        <v>-17.34</v>
      </c>
      <c r="I476" t="str">
        <f t="shared" si="101"/>
        <v/>
      </c>
      <c r="J476" t="str">
        <f t="shared" si="102"/>
        <v/>
      </c>
      <c r="K476" t="e">
        <f t="shared" si="99"/>
        <v>#N/A</v>
      </c>
      <c r="L476">
        <f t="shared" si="103"/>
        <v>-17.34</v>
      </c>
      <c r="M476" t="str">
        <f t="shared" si="104"/>
        <v/>
      </c>
      <c r="N476" t="e">
        <f t="shared" si="100"/>
        <v>#N/A</v>
      </c>
      <c r="P476">
        <f t="shared" si="105"/>
        <v>2</v>
      </c>
      <c r="Q476" t="str">
        <f t="shared" ca="1" si="106"/>
        <v/>
      </c>
      <c r="R476" t="str">
        <f t="shared" ca="1" si="107"/>
        <v/>
      </c>
      <c r="T476">
        <f t="shared" si="108"/>
        <v>0</v>
      </c>
      <c r="V476">
        <v>2</v>
      </c>
      <c r="W476" t="str">
        <f t="shared" si="98"/>
        <v/>
      </c>
    </row>
    <row r="477" spans="1:23" outlineLevel="2" x14ac:dyDescent="0.3">
      <c r="A477">
        <v>-15.9</v>
      </c>
      <c r="I477" t="str">
        <f t="shared" si="101"/>
        <v/>
      </c>
      <c r="J477" t="str">
        <f t="shared" si="102"/>
        <v/>
      </c>
      <c r="K477" t="e">
        <f t="shared" si="99"/>
        <v>#N/A</v>
      </c>
      <c r="L477">
        <f t="shared" si="103"/>
        <v>-15.9</v>
      </c>
      <c r="M477" t="str">
        <f t="shared" si="104"/>
        <v/>
      </c>
      <c r="N477" t="e">
        <f t="shared" si="100"/>
        <v>#N/A</v>
      </c>
      <c r="P477">
        <f t="shared" si="105"/>
        <v>2</v>
      </c>
      <c r="Q477" t="str">
        <f t="shared" ca="1" si="106"/>
        <v/>
      </c>
      <c r="R477" t="str">
        <f t="shared" ca="1" si="107"/>
        <v/>
      </c>
      <c r="T477">
        <f t="shared" si="108"/>
        <v>0</v>
      </c>
      <c r="V477">
        <v>2</v>
      </c>
      <c r="W477" t="str">
        <f t="shared" si="98"/>
        <v/>
      </c>
    </row>
    <row r="478" spans="1:23" outlineLevel="2" x14ac:dyDescent="0.3">
      <c r="A478">
        <v>-14.33</v>
      </c>
      <c r="I478" t="str">
        <f t="shared" si="101"/>
        <v/>
      </c>
      <c r="J478" t="str">
        <f t="shared" si="102"/>
        <v/>
      </c>
      <c r="K478" t="e">
        <f t="shared" si="99"/>
        <v>#N/A</v>
      </c>
      <c r="L478">
        <f t="shared" si="103"/>
        <v>-14.33</v>
      </c>
      <c r="M478" t="str">
        <f t="shared" si="104"/>
        <v/>
      </c>
      <c r="N478" t="e">
        <f t="shared" si="100"/>
        <v>#N/A</v>
      </c>
      <c r="P478">
        <f t="shared" si="105"/>
        <v>2</v>
      </c>
      <c r="Q478" t="str">
        <f t="shared" ca="1" si="106"/>
        <v/>
      </c>
      <c r="R478" t="str">
        <f t="shared" ca="1" si="107"/>
        <v/>
      </c>
      <c r="T478">
        <f t="shared" si="108"/>
        <v>0</v>
      </c>
      <c r="V478">
        <v>2</v>
      </c>
      <c r="W478" t="str">
        <f t="shared" si="98"/>
        <v/>
      </c>
    </row>
    <row r="479" spans="1:23" outlineLevel="2" x14ac:dyDescent="0.3">
      <c r="A479">
        <v>-12.22</v>
      </c>
      <c r="I479" t="str">
        <f t="shared" si="101"/>
        <v/>
      </c>
      <c r="J479" t="str">
        <f t="shared" si="102"/>
        <v/>
      </c>
      <c r="K479" t="e">
        <f t="shared" si="99"/>
        <v>#N/A</v>
      </c>
      <c r="L479">
        <f t="shared" si="103"/>
        <v>-12.22</v>
      </c>
      <c r="M479" t="str">
        <f t="shared" si="104"/>
        <v/>
      </c>
      <c r="N479" t="e">
        <f t="shared" si="100"/>
        <v>#N/A</v>
      </c>
      <c r="P479">
        <f t="shared" si="105"/>
        <v>2</v>
      </c>
      <c r="Q479" t="str">
        <f t="shared" ca="1" si="106"/>
        <v/>
      </c>
      <c r="R479" t="str">
        <f t="shared" ca="1" si="107"/>
        <v/>
      </c>
      <c r="T479">
        <f t="shared" si="108"/>
        <v>0</v>
      </c>
      <c r="V479">
        <v>2</v>
      </c>
      <c r="W479" t="str">
        <f t="shared" si="98"/>
        <v/>
      </c>
    </row>
    <row r="480" spans="1:23" outlineLevel="2" x14ac:dyDescent="0.3">
      <c r="A480">
        <v>-12.19</v>
      </c>
      <c r="I480" t="str">
        <f t="shared" si="101"/>
        <v/>
      </c>
      <c r="J480" t="str">
        <f t="shared" si="102"/>
        <v/>
      </c>
      <c r="K480" t="e">
        <f t="shared" si="99"/>
        <v>#N/A</v>
      </c>
      <c r="L480">
        <f t="shared" si="103"/>
        <v>-12.19</v>
      </c>
      <c r="M480" t="str">
        <f t="shared" si="104"/>
        <v/>
      </c>
      <c r="N480" t="e">
        <f t="shared" si="100"/>
        <v>#N/A</v>
      </c>
      <c r="P480">
        <f t="shared" si="105"/>
        <v>2</v>
      </c>
      <c r="Q480" t="str">
        <f t="shared" ca="1" si="106"/>
        <v/>
      </c>
      <c r="R480" t="str">
        <f t="shared" ca="1" si="107"/>
        <v/>
      </c>
      <c r="T480">
        <f t="shared" si="108"/>
        <v>0</v>
      </c>
      <c r="V480">
        <v>2</v>
      </c>
      <c r="W480" t="str">
        <f t="shared" si="98"/>
        <v/>
      </c>
    </row>
    <row r="481" spans="1:23" outlineLevel="2" x14ac:dyDescent="0.3">
      <c r="A481">
        <v>-14.11</v>
      </c>
      <c r="I481" t="str">
        <f t="shared" si="101"/>
        <v/>
      </c>
      <c r="J481" t="str">
        <f t="shared" si="102"/>
        <v/>
      </c>
      <c r="K481" t="e">
        <f t="shared" si="99"/>
        <v>#N/A</v>
      </c>
      <c r="L481">
        <f t="shared" si="103"/>
        <v>-14.11</v>
      </c>
      <c r="M481" t="str">
        <f t="shared" si="104"/>
        <v/>
      </c>
      <c r="N481" t="e">
        <f t="shared" si="100"/>
        <v>#N/A</v>
      </c>
      <c r="P481">
        <f t="shared" si="105"/>
        <v>2</v>
      </c>
      <c r="Q481" t="str">
        <f t="shared" ca="1" si="106"/>
        <v/>
      </c>
      <c r="R481" t="str">
        <f t="shared" ca="1" si="107"/>
        <v/>
      </c>
      <c r="T481">
        <f t="shared" si="108"/>
        <v>0</v>
      </c>
      <c r="V481">
        <v>2</v>
      </c>
      <c r="W481" t="str">
        <f t="shared" si="98"/>
        <v/>
      </c>
    </row>
    <row r="482" spans="1:23" outlineLevel="2" x14ac:dyDescent="0.3">
      <c r="A482">
        <v>-15.6</v>
      </c>
      <c r="I482" t="str">
        <f t="shared" si="101"/>
        <v/>
      </c>
      <c r="J482" t="str">
        <f t="shared" si="102"/>
        <v/>
      </c>
      <c r="K482" t="e">
        <f t="shared" si="99"/>
        <v>#N/A</v>
      </c>
      <c r="L482">
        <f t="shared" si="103"/>
        <v>-15.6</v>
      </c>
      <c r="M482" t="str">
        <f t="shared" si="104"/>
        <v/>
      </c>
      <c r="N482" t="e">
        <f t="shared" si="100"/>
        <v>#N/A</v>
      </c>
      <c r="P482">
        <f t="shared" si="105"/>
        <v>2</v>
      </c>
      <c r="Q482" t="str">
        <f t="shared" ca="1" si="106"/>
        <v/>
      </c>
      <c r="R482" t="str">
        <f t="shared" ca="1" si="107"/>
        <v/>
      </c>
      <c r="T482">
        <f t="shared" si="108"/>
        <v>0</v>
      </c>
      <c r="V482">
        <v>2</v>
      </c>
      <c r="W482" t="str">
        <f t="shared" si="98"/>
        <v/>
      </c>
    </row>
    <row r="483" spans="1:23" outlineLevel="2" x14ac:dyDescent="0.3">
      <c r="A483">
        <v>-16.96</v>
      </c>
      <c r="I483" t="str">
        <f t="shared" si="101"/>
        <v/>
      </c>
      <c r="J483" t="str">
        <f t="shared" si="102"/>
        <v/>
      </c>
      <c r="K483" t="e">
        <f t="shared" si="99"/>
        <v>#N/A</v>
      </c>
      <c r="L483">
        <f t="shared" si="103"/>
        <v>-16.96</v>
      </c>
      <c r="M483" t="str">
        <f t="shared" si="104"/>
        <v/>
      </c>
      <c r="N483" t="e">
        <f t="shared" si="100"/>
        <v>#N/A</v>
      </c>
      <c r="P483">
        <f t="shared" si="105"/>
        <v>2</v>
      </c>
      <c r="Q483" t="str">
        <f t="shared" ca="1" si="106"/>
        <v/>
      </c>
      <c r="R483" t="str">
        <f t="shared" ca="1" si="107"/>
        <v/>
      </c>
      <c r="T483">
        <f t="shared" si="108"/>
        <v>0</v>
      </c>
      <c r="V483">
        <v>2</v>
      </c>
      <c r="W483" t="str">
        <f t="shared" si="98"/>
        <v/>
      </c>
    </row>
    <row r="484" spans="1:23" outlineLevel="2" x14ac:dyDescent="0.3">
      <c r="A484">
        <v>-17.05</v>
      </c>
      <c r="I484" t="str">
        <f t="shared" si="101"/>
        <v/>
      </c>
      <c r="J484" t="str">
        <f t="shared" si="102"/>
        <v/>
      </c>
      <c r="K484" t="e">
        <f t="shared" si="99"/>
        <v>#N/A</v>
      </c>
      <c r="L484">
        <f t="shared" si="103"/>
        <v>-17.05</v>
      </c>
      <c r="M484" t="str">
        <f t="shared" si="104"/>
        <v/>
      </c>
      <c r="N484" t="e">
        <f t="shared" si="100"/>
        <v>#N/A</v>
      </c>
      <c r="P484">
        <f t="shared" si="105"/>
        <v>2</v>
      </c>
      <c r="Q484" t="str">
        <f t="shared" ca="1" si="106"/>
        <v/>
      </c>
      <c r="R484" t="str">
        <f t="shared" ca="1" si="107"/>
        <v/>
      </c>
      <c r="T484">
        <f t="shared" si="108"/>
        <v>0</v>
      </c>
      <c r="V484">
        <v>2</v>
      </c>
      <c r="W484" t="str">
        <f t="shared" si="98"/>
        <v/>
      </c>
    </row>
    <row r="485" spans="1:23" outlineLevel="2" x14ac:dyDescent="0.3">
      <c r="A485">
        <v>-15.4</v>
      </c>
      <c r="I485" t="str">
        <f t="shared" si="101"/>
        <v/>
      </c>
      <c r="J485" t="str">
        <f t="shared" si="102"/>
        <v/>
      </c>
      <c r="K485" t="e">
        <f t="shared" si="99"/>
        <v>#N/A</v>
      </c>
      <c r="L485">
        <f t="shared" si="103"/>
        <v>-15.4</v>
      </c>
      <c r="M485" t="str">
        <f t="shared" si="104"/>
        <v/>
      </c>
      <c r="N485" t="e">
        <f t="shared" si="100"/>
        <v>#N/A</v>
      </c>
      <c r="P485">
        <f t="shared" si="105"/>
        <v>2</v>
      </c>
      <c r="Q485" t="str">
        <f t="shared" ca="1" si="106"/>
        <v/>
      </c>
      <c r="R485" t="str">
        <f t="shared" ca="1" si="107"/>
        <v/>
      </c>
      <c r="T485">
        <f t="shared" si="108"/>
        <v>0</v>
      </c>
      <c r="V485">
        <v>2</v>
      </c>
      <c r="W485" t="str">
        <f t="shared" si="98"/>
        <v/>
      </c>
    </row>
    <row r="486" spans="1:23" outlineLevel="2" x14ac:dyDescent="0.3">
      <c r="A486">
        <v>-13.3</v>
      </c>
      <c r="I486" t="str">
        <f t="shared" si="101"/>
        <v/>
      </c>
      <c r="J486" t="str">
        <f t="shared" si="102"/>
        <v/>
      </c>
      <c r="K486" t="e">
        <f t="shared" si="99"/>
        <v>#N/A</v>
      </c>
      <c r="L486">
        <f t="shared" si="103"/>
        <v>-13.3</v>
      </c>
      <c r="M486" t="str">
        <f t="shared" si="104"/>
        <v/>
      </c>
      <c r="N486" t="e">
        <f t="shared" si="100"/>
        <v>#N/A</v>
      </c>
      <c r="P486">
        <f t="shared" si="105"/>
        <v>2</v>
      </c>
      <c r="Q486" t="str">
        <f t="shared" ca="1" si="106"/>
        <v/>
      </c>
      <c r="R486" t="str">
        <f t="shared" ca="1" si="107"/>
        <v/>
      </c>
      <c r="T486">
        <f t="shared" si="108"/>
        <v>0</v>
      </c>
      <c r="V486">
        <v>2</v>
      </c>
      <c r="W486" t="str">
        <f t="shared" si="98"/>
        <v/>
      </c>
    </row>
    <row r="487" spans="1:23" outlineLevel="2" x14ac:dyDescent="0.3">
      <c r="A487">
        <v>-11.8</v>
      </c>
      <c r="I487" t="str">
        <f t="shared" si="101"/>
        <v/>
      </c>
      <c r="J487" t="str">
        <f t="shared" si="102"/>
        <v/>
      </c>
      <c r="K487" t="e">
        <f t="shared" si="99"/>
        <v>#N/A</v>
      </c>
      <c r="L487">
        <f t="shared" si="103"/>
        <v>-11.8</v>
      </c>
      <c r="M487" t="str">
        <f t="shared" si="104"/>
        <v/>
      </c>
      <c r="N487" t="e">
        <f t="shared" si="100"/>
        <v>#N/A</v>
      </c>
      <c r="P487">
        <f t="shared" si="105"/>
        <v>2</v>
      </c>
      <c r="Q487" t="str">
        <f t="shared" ca="1" si="106"/>
        <v/>
      </c>
      <c r="R487" t="str">
        <f t="shared" ca="1" si="107"/>
        <v/>
      </c>
      <c r="T487">
        <f t="shared" si="108"/>
        <v>0</v>
      </c>
      <c r="V487">
        <v>2</v>
      </c>
      <c r="W487" t="str">
        <f t="shared" si="98"/>
        <v/>
      </c>
    </row>
    <row r="488" spans="1:23" outlineLevel="2" x14ac:dyDescent="0.3">
      <c r="A488">
        <v>-13.41</v>
      </c>
      <c r="I488" t="str">
        <f t="shared" si="101"/>
        <v/>
      </c>
      <c r="J488" t="str">
        <f t="shared" si="102"/>
        <v/>
      </c>
      <c r="K488" t="e">
        <f t="shared" si="99"/>
        <v>#N/A</v>
      </c>
      <c r="L488">
        <f t="shared" si="103"/>
        <v>-13.41</v>
      </c>
      <c r="M488" t="str">
        <f t="shared" si="104"/>
        <v/>
      </c>
      <c r="N488" t="e">
        <f t="shared" si="100"/>
        <v>#N/A</v>
      </c>
      <c r="P488">
        <f t="shared" si="105"/>
        <v>2</v>
      </c>
      <c r="Q488" t="str">
        <f t="shared" ca="1" si="106"/>
        <v/>
      </c>
      <c r="R488" t="str">
        <f t="shared" ca="1" si="107"/>
        <v/>
      </c>
      <c r="T488">
        <f t="shared" si="108"/>
        <v>0</v>
      </c>
      <c r="V488">
        <v>2</v>
      </c>
      <c r="W488" t="str">
        <f t="shared" si="98"/>
        <v/>
      </c>
    </row>
    <row r="489" spans="1:23" outlineLevel="2" x14ac:dyDescent="0.3">
      <c r="A489">
        <v>-16.54</v>
      </c>
      <c r="I489" t="str">
        <f t="shared" si="101"/>
        <v/>
      </c>
      <c r="J489" t="str">
        <f t="shared" si="102"/>
        <v/>
      </c>
      <c r="K489" t="e">
        <f t="shared" si="99"/>
        <v>#N/A</v>
      </c>
      <c r="L489">
        <f t="shared" si="103"/>
        <v>-16.54</v>
      </c>
      <c r="M489" t="str">
        <f t="shared" si="104"/>
        <v/>
      </c>
      <c r="N489" t="e">
        <f t="shared" si="100"/>
        <v>#N/A</v>
      </c>
      <c r="P489">
        <f t="shared" si="105"/>
        <v>2</v>
      </c>
      <c r="Q489" t="str">
        <f t="shared" ca="1" si="106"/>
        <v/>
      </c>
      <c r="R489" t="str">
        <f t="shared" ca="1" si="107"/>
        <v/>
      </c>
      <c r="T489">
        <f t="shared" si="108"/>
        <v>0</v>
      </c>
      <c r="V489">
        <v>2</v>
      </c>
      <c r="W489" t="str">
        <f t="shared" si="98"/>
        <v/>
      </c>
    </row>
    <row r="490" spans="1:23" outlineLevel="2" x14ac:dyDescent="0.3">
      <c r="A490">
        <v>-17.37</v>
      </c>
      <c r="I490" t="str">
        <f t="shared" si="101"/>
        <v/>
      </c>
      <c r="J490" t="str">
        <f t="shared" si="102"/>
        <v/>
      </c>
      <c r="K490" t="e">
        <f t="shared" si="99"/>
        <v>#N/A</v>
      </c>
      <c r="L490">
        <f t="shared" si="103"/>
        <v>-17.37</v>
      </c>
      <c r="M490" t="str">
        <f t="shared" si="104"/>
        <v/>
      </c>
      <c r="N490" t="e">
        <f t="shared" si="100"/>
        <v>#N/A</v>
      </c>
      <c r="P490">
        <f t="shared" si="105"/>
        <v>2</v>
      </c>
      <c r="Q490" t="str">
        <f t="shared" ca="1" si="106"/>
        <v/>
      </c>
      <c r="R490" t="str">
        <f t="shared" ca="1" si="107"/>
        <v/>
      </c>
      <c r="T490">
        <f t="shared" si="108"/>
        <v>0</v>
      </c>
      <c r="V490">
        <v>2</v>
      </c>
      <c r="W490" t="str">
        <f t="shared" si="98"/>
        <v/>
      </c>
    </row>
    <row r="491" spans="1:23" outlineLevel="2" x14ac:dyDescent="0.3">
      <c r="A491">
        <v>-14.13</v>
      </c>
      <c r="I491" t="str">
        <f t="shared" si="101"/>
        <v/>
      </c>
      <c r="J491" t="str">
        <f>IF(AND(I492&gt;I491,I492&gt;I494,I492&gt;$D$5),I492,"")</f>
        <v/>
      </c>
      <c r="K491" t="e">
        <f t="shared" si="99"/>
        <v>#N/A</v>
      </c>
      <c r="L491">
        <f t="shared" si="103"/>
        <v>-14.13</v>
      </c>
      <c r="M491" t="str">
        <f>IF(AND(L492&lt;L491,L492&lt;L494,L492&lt;$G$5),L492,"")</f>
        <v/>
      </c>
      <c r="N491" t="e">
        <f t="shared" si="100"/>
        <v>#N/A</v>
      </c>
      <c r="P491">
        <f t="shared" si="105"/>
        <v>2</v>
      </c>
      <c r="Q491" t="str">
        <f t="shared" ca="1" si="106"/>
        <v/>
      </c>
      <c r="R491" t="str">
        <f t="shared" ca="1" si="107"/>
        <v/>
      </c>
      <c r="T491">
        <f t="shared" si="108"/>
        <v>0</v>
      </c>
      <c r="V491">
        <v>2</v>
      </c>
      <c r="W491" t="str">
        <f t="shared" si="98"/>
        <v/>
      </c>
    </row>
    <row r="492" spans="1:23" outlineLevel="2" x14ac:dyDescent="0.3">
      <c r="A492">
        <v>-12.46</v>
      </c>
      <c r="I492" t="str">
        <f t="shared" si="101"/>
        <v/>
      </c>
      <c r="J492" t="str">
        <f>IF(AND(I494&gt;I492,I494&gt;I495,I494&gt;$D$5),I494,"")</f>
        <v/>
      </c>
      <c r="K492" t="e">
        <f t="shared" si="99"/>
        <v>#N/A</v>
      </c>
      <c r="L492">
        <f t="shared" si="103"/>
        <v>-12.46</v>
      </c>
      <c r="M492" t="str">
        <f>IF(AND(L494&lt;L492,L494&lt;L495,L494&lt;$G$5),L494,"")</f>
        <v/>
      </c>
      <c r="N492" t="e">
        <f t="shared" si="100"/>
        <v>#N/A</v>
      </c>
      <c r="P492">
        <f t="shared" si="105"/>
        <v>2</v>
      </c>
      <c r="Q492">
        <f ca="1">IF(AND(A494&gt;=0,A492&lt;0),CELL("ROW",A494),IF(AND(A494&lt;0,A492&gt;=0),CELL("ROW",A494),""))</f>
        <v>494</v>
      </c>
      <c r="R492" t="str">
        <f t="shared" ca="1" si="107"/>
        <v>494</v>
      </c>
      <c r="T492">
        <f>S494-S492</f>
        <v>0</v>
      </c>
      <c r="V492">
        <v>2</v>
      </c>
      <c r="W492" t="str">
        <f t="shared" si="98"/>
        <v/>
      </c>
    </row>
    <row r="493" spans="1:23" outlineLevel="1" x14ac:dyDescent="0.3">
      <c r="O493" s="1" t="s">
        <v>27</v>
      </c>
      <c r="P493">
        <f>SUBTOTAL(3,P458:P492)</f>
        <v>35</v>
      </c>
      <c r="V493">
        <v>35</v>
      </c>
      <c r="W493" t="str">
        <f t="shared" si="98"/>
        <v/>
      </c>
    </row>
    <row r="494" spans="1:23" outlineLevel="2" x14ac:dyDescent="0.3">
      <c r="A494">
        <v>11.58</v>
      </c>
      <c r="I494">
        <f t="shared" si="101"/>
        <v>11.58</v>
      </c>
      <c r="J494" t="str">
        <f t="shared" si="102"/>
        <v/>
      </c>
      <c r="K494" t="e">
        <f t="shared" ref="K494:K512" si="109">MATCH(J494,$A$1:$A$10041,0)</f>
        <v>#N/A</v>
      </c>
      <c r="L494" t="str">
        <f t="shared" si="103"/>
        <v/>
      </c>
      <c r="M494" t="str">
        <f t="shared" si="104"/>
        <v/>
      </c>
      <c r="N494" t="e">
        <f t="shared" ref="N494:N512" si="110">MATCH(M494,$A$1:$A$10041,0)</f>
        <v>#N/A</v>
      </c>
      <c r="P494">
        <f t="shared" si="105"/>
        <v>1</v>
      </c>
      <c r="Q494" t="str">
        <f t="shared" ca="1" si="106"/>
        <v/>
      </c>
      <c r="R494" t="str">
        <f t="shared" ca="1" si="107"/>
        <v/>
      </c>
      <c r="T494">
        <f t="shared" si="108"/>
        <v>0</v>
      </c>
      <c r="V494">
        <v>1</v>
      </c>
      <c r="W494" t="str">
        <f t="shared" si="98"/>
        <v/>
      </c>
    </row>
    <row r="495" spans="1:23" outlineLevel="2" x14ac:dyDescent="0.3">
      <c r="A495">
        <v>13.49</v>
      </c>
      <c r="I495">
        <f t="shared" si="101"/>
        <v>13.49</v>
      </c>
      <c r="J495" t="str">
        <f t="shared" si="102"/>
        <v/>
      </c>
      <c r="K495" t="e">
        <f t="shared" si="109"/>
        <v>#N/A</v>
      </c>
      <c r="L495" t="str">
        <f t="shared" si="103"/>
        <v/>
      </c>
      <c r="M495" t="str">
        <f t="shared" si="104"/>
        <v/>
      </c>
      <c r="N495" t="e">
        <f t="shared" si="110"/>
        <v>#N/A</v>
      </c>
      <c r="P495">
        <f t="shared" si="105"/>
        <v>1</v>
      </c>
      <c r="Q495" t="str">
        <f t="shared" ca="1" si="106"/>
        <v/>
      </c>
      <c r="R495" t="str">
        <f t="shared" ca="1" si="107"/>
        <v/>
      </c>
      <c r="T495">
        <f t="shared" si="108"/>
        <v>0</v>
      </c>
      <c r="V495">
        <v>1</v>
      </c>
      <c r="W495" t="str">
        <f t="shared" si="98"/>
        <v/>
      </c>
    </row>
    <row r="496" spans="1:23" outlineLevel="2" x14ac:dyDescent="0.3">
      <c r="A496">
        <v>14.01</v>
      </c>
      <c r="I496">
        <f t="shared" si="101"/>
        <v>14.01</v>
      </c>
      <c r="J496" t="str">
        <f t="shared" si="102"/>
        <v/>
      </c>
      <c r="K496" t="e">
        <f t="shared" si="109"/>
        <v>#N/A</v>
      </c>
      <c r="L496" t="str">
        <f t="shared" si="103"/>
        <v/>
      </c>
      <c r="M496" t="str">
        <f t="shared" si="104"/>
        <v/>
      </c>
      <c r="N496" t="e">
        <f t="shared" si="110"/>
        <v>#N/A</v>
      </c>
      <c r="P496">
        <f t="shared" si="105"/>
        <v>1</v>
      </c>
      <c r="Q496" t="str">
        <f t="shared" ca="1" si="106"/>
        <v/>
      </c>
      <c r="R496" t="str">
        <f t="shared" ca="1" si="107"/>
        <v/>
      </c>
      <c r="T496">
        <f t="shared" si="108"/>
        <v>0</v>
      </c>
      <c r="V496">
        <v>1</v>
      </c>
      <c r="W496" t="str">
        <f t="shared" si="98"/>
        <v/>
      </c>
    </row>
    <row r="497" spans="1:23" outlineLevel="2" x14ac:dyDescent="0.3">
      <c r="A497">
        <v>14.02</v>
      </c>
      <c r="I497">
        <f t="shared" si="101"/>
        <v>14.02</v>
      </c>
      <c r="J497" t="str">
        <f t="shared" si="102"/>
        <v/>
      </c>
      <c r="K497" t="e">
        <f t="shared" si="109"/>
        <v>#N/A</v>
      </c>
      <c r="L497" t="str">
        <f t="shared" si="103"/>
        <v/>
      </c>
      <c r="M497" t="str">
        <f t="shared" si="104"/>
        <v/>
      </c>
      <c r="N497" t="e">
        <f t="shared" si="110"/>
        <v>#N/A</v>
      </c>
      <c r="P497">
        <f t="shared" si="105"/>
        <v>1</v>
      </c>
      <c r="Q497" t="str">
        <f t="shared" ca="1" si="106"/>
        <v/>
      </c>
      <c r="R497" t="str">
        <f t="shared" ca="1" si="107"/>
        <v/>
      </c>
      <c r="T497">
        <f t="shared" si="108"/>
        <v>0</v>
      </c>
      <c r="V497">
        <v>1</v>
      </c>
      <c r="W497" t="str">
        <f t="shared" si="98"/>
        <v/>
      </c>
    </row>
    <row r="498" spans="1:23" outlineLevel="2" x14ac:dyDescent="0.3">
      <c r="A498">
        <v>13.72</v>
      </c>
      <c r="I498">
        <f t="shared" si="101"/>
        <v>13.72</v>
      </c>
      <c r="J498" t="str">
        <f t="shared" si="102"/>
        <v/>
      </c>
      <c r="K498" t="e">
        <f t="shared" si="109"/>
        <v>#N/A</v>
      </c>
      <c r="L498" t="str">
        <f t="shared" si="103"/>
        <v/>
      </c>
      <c r="M498" t="str">
        <f t="shared" si="104"/>
        <v/>
      </c>
      <c r="N498" t="e">
        <f t="shared" si="110"/>
        <v>#N/A</v>
      </c>
      <c r="P498">
        <f t="shared" si="105"/>
        <v>1</v>
      </c>
      <c r="Q498" t="str">
        <f t="shared" ca="1" si="106"/>
        <v/>
      </c>
      <c r="R498" t="str">
        <f t="shared" ca="1" si="107"/>
        <v/>
      </c>
      <c r="T498">
        <f t="shared" si="108"/>
        <v>0</v>
      </c>
      <c r="V498">
        <v>1</v>
      </c>
      <c r="W498" t="str">
        <f t="shared" si="98"/>
        <v/>
      </c>
    </row>
    <row r="499" spans="1:23" outlineLevel="2" x14ac:dyDescent="0.3">
      <c r="A499">
        <v>13.41</v>
      </c>
      <c r="I499">
        <f t="shared" si="101"/>
        <v>13.41</v>
      </c>
      <c r="J499" t="str">
        <f t="shared" si="102"/>
        <v/>
      </c>
      <c r="K499" t="e">
        <f t="shared" si="109"/>
        <v>#N/A</v>
      </c>
      <c r="L499" t="str">
        <f t="shared" si="103"/>
        <v/>
      </c>
      <c r="M499" t="str">
        <f t="shared" si="104"/>
        <v/>
      </c>
      <c r="N499" t="e">
        <f t="shared" si="110"/>
        <v>#N/A</v>
      </c>
      <c r="P499">
        <f t="shared" si="105"/>
        <v>1</v>
      </c>
      <c r="Q499" t="str">
        <f t="shared" ca="1" si="106"/>
        <v/>
      </c>
      <c r="R499" t="str">
        <f t="shared" ca="1" si="107"/>
        <v/>
      </c>
      <c r="T499">
        <f t="shared" si="108"/>
        <v>0</v>
      </c>
      <c r="V499">
        <v>1</v>
      </c>
      <c r="W499" t="str">
        <f t="shared" si="98"/>
        <v/>
      </c>
    </row>
    <row r="500" spans="1:23" outlineLevel="2" x14ac:dyDescent="0.3">
      <c r="A500">
        <v>13.25</v>
      </c>
      <c r="I500">
        <f t="shared" si="101"/>
        <v>13.25</v>
      </c>
      <c r="J500" t="str">
        <f t="shared" si="102"/>
        <v/>
      </c>
      <c r="K500" t="e">
        <f t="shared" si="109"/>
        <v>#N/A</v>
      </c>
      <c r="L500" t="str">
        <f t="shared" si="103"/>
        <v/>
      </c>
      <c r="M500" t="str">
        <f t="shared" si="104"/>
        <v/>
      </c>
      <c r="N500" t="e">
        <f t="shared" si="110"/>
        <v>#N/A</v>
      </c>
      <c r="P500">
        <f t="shared" si="105"/>
        <v>1</v>
      </c>
      <c r="Q500" t="str">
        <f t="shared" ca="1" si="106"/>
        <v/>
      </c>
      <c r="R500" t="str">
        <f t="shared" ca="1" si="107"/>
        <v/>
      </c>
      <c r="T500">
        <f t="shared" si="108"/>
        <v>0</v>
      </c>
      <c r="V500">
        <v>1</v>
      </c>
      <c r="W500" t="str">
        <f t="shared" si="98"/>
        <v/>
      </c>
    </row>
    <row r="501" spans="1:23" outlineLevel="2" x14ac:dyDescent="0.3">
      <c r="A501">
        <v>13.4</v>
      </c>
      <c r="I501">
        <f t="shared" si="101"/>
        <v>13.4</v>
      </c>
      <c r="J501" t="str">
        <f t="shared" si="102"/>
        <v/>
      </c>
      <c r="K501" t="e">
        <f t="shared" si="109"/>
        <v>#N/A</v>
      </c>
      <c r="L501" t="str">
        <f t="shared" si="103"/>
        <v/>
      </c>
      <c r="M501" t="str">
        <f t="shared" si="104"/>
        <v/>
      </c>
      <c r="N501" t="e">
        <f t="shared" si="110"/>
        <v>#N/A</v>
      </c>
      <c r="P501">
        <f t="shared" si="105"/>
        <v>1</v>
      </c>
      <c r="Q501" t="str">
        <f t="shared" ca="1" si="106"/>
        <v/>
      </c>
      <c r="R501" t="str">
        <f t="shared" ca="1" si="107"/>
        <v/>
      </c>
      <c r="T501">
        <f t="shared" si="108"/>
        <v>0</v>
      </c>
      <c r="V501">
        <v>1</v>
      </c>
      <c r="W501" t="str">
        <f t="shared" si="98"/>
        <v/>
      </c>
    </row>
    <row r="502" spans="1:23" outlineLevel="2" x14ac:dyDescent="0.3">
      <c r="A502">
        <v>14.66</v>
      </c>
      <c r="I502">
        <f t="shared" si="101"/>
        <v>14.66</v>
      </c>
      <c r="J502" t="str">
        <f t="shared" si="102"/>
        <v/>
      </c>
      <c r="K502" t="e">
        <f t="shared" si="109"/>
        <v>#N/A</v>
      </c>
      <c r="L502" t="str">
        <f t="shared" si="103"/>
        <v/>
      </c>
      <c r="M502" t="str">
        <f t="shared" si="104"/>
        <v/>
      </c>
      <c r="N502" t="e">
        <f t="shared" si="110"/>
        <v>#N/A</v>
      </c>
      <c r="P502">
        <f t="shared" si="105"/>
        <v>1</v>
      </c>
      <c r="Q502" t="str">
        <f t="shared" ca="1" si="106"/>
        <v/>
      </c>
      <c r="R502" t="str">
        <f t="shared" ca="1" si="107"/>
        <v/>
      </c>
      <c r="T502">
        <f t="shared" si="108"/>
        <v>0</v>
      </c>
      <c r="V502">
        <v>1</v>
      </c>
      <c r="W502" t="str">
        <f t="shared" si="98"/>
        <v/>
      </c>
    </row>
    <row r="503" spans="1:23" outlineLevel="2" x14ac:dyDescent="0.3">
      <c r="A503">
        <v>18.440000000000001</v>
      </c>
      <c r="I503">
        <f t="shared" si="101"/>
        <v>18.440000000000001</v>
      </c>
      <c r="J503" t="str">
        <f t="shared" si="102"/>
        <v/>
      </c>
      <c r="K503" t="e">
        <f t="shared" si="109"/>
        <v>#N/A</v>
      </c>
      <c r="L503" t="str">
        <f t="shared" si="103"/>
        <v/>
      </c>
      <c r="M503" t="str">
        <f t="shared" si="104"/>
        <v/>
      </c>
      <c r="N503" t="e">
        <f t="shared" si="110"/>
        <v>#N/A</v>
      </c>
      <c r="P503">
        <f t="shared" si="105"/>
        <v>1</v>
      </c>
      <c r="Q503" t="str">
        <f t="shared" ca="1" si="106"/>
        <v/>
      </c>
      <c r="R503" t="str">
        <f t="shared" ca="1" si="107"/>
        <v/>
      </c>
      <c r="T503">
        <f t="shared" si="108"/>
        <v>0</v>
      </c>
      <c r="V503">
        <v>1</v>
      </c>
      <c r="W503" t="str">
        <f t="shared" si="98"/>
        <v/>
      </c>
    </row>
    <row r="504" spans="1:23" outlineLevel="2" x14ac:dyDescent="0.3">
      <c r="A504">
        <v>26.14</v>
      </c>
      <c r="I504">
        <f t="shared" si="101"/>
        <v>26.14</v>
      </c>
      <c r="J504" t="str">
        <f t="shared" si="102"/>
        <v/>
      </c>
      <c r="K504" t="e">
        <f t="shared" si="109"/>
        <v>#N/A</v>
      </c>
      <c r="L504" t="str">
        <f t="shared" si="103"/>
        <v/>
      </c>
      <c r="M504" t="str">
        <f t="shared" si="104"/>
        <v/>
      </c>
      <c r="N504" t="e">
        <f t="shared" si="110"/>
        <v>#N/A</v>
      </c>
      <c r="P504">
        <f t="shared" si="105"/>
        <v>1</v>
      </c>
      <c r="Q504" t="str">
        <f t="shared" ca="1" si="106"/>
        <v/>
      </c>
      <c r="R504" t="str">
        <f t="shared" ca="1" si="107"/>
        <v/>
      </c>
      <c r="T504">
        <f t="shared" si="108"/>
        <v>0</v>
      </c>
      <c r="V504">
        <v>1</v>
      </c>
      <c r="W504" t="str">
        <f t="shared" si="98"/>
        <v/>
      </c>
    </row>
    <row r="505" spans="1:23" outlineLevel="2" x14ac:dyDescent="0.3">
      <c r="A505">
        <v>39.96</v>
      </c>
      <c r="I505">
        <f t="shared" si="101"/>
        <v>39.96</v>
      </c>
      <c r="J505" t="str">
        <f t="shared" si="102"/>
        <v/>
      </c>
      <c r="K505" t="e">
        <f t="shared" si="109"/>
        <v>#N/A</v>
      </c>
      <c r="L505" t="str">
        <f t="shared" si="103"/>
        <v/>
      </c>
      <c r="M505" t="str">
        <f t="shared" si="104"/>
        <v/>
      </c>
      <c r="N505" t="e">
        <f t="shared" si="110"/>
        <v>#N/A</v>
      </c>
      <c r="P505">
        <f t="shared" si="105"/>
        <v>1</v>
      </c>
      <c r="Q505" t="str">
        <f t="shared" ca="1" si="106"/>
        <v/>
      </c>
      <c r="R505" t="str">
        <f t="shared" ca="1" si="107"/>
        <v/>
      </c>
      <c r="T505">
        <f t="shared" si="108"/>
        <v>0</v>
      </c>
      <c r="V505">
        <v>1</v>
      </c>
      <c r="W505" t="str">
        <f t="shared" si="98"/>
        <v/>
      </c>
    </row>
    <row r="506" spans="1:23" outlineLevel="2" x14ac:dyDescent="0.3">
      <c r="A506">
        <v>64.98</v>
      </c>
      <c r="I506">
        <f t="shared" si="101"/>
        <v>64.98</v>
      </c>
      <c r="J506" t="str">
        <f t="shared" si="102"/>
        <v/>
      </c>
      <c r="K506" t="e">
        <f t="shared" si="109"/>
        <v>#N/A</v>
      </c>
      <c r="L506" t="str">
        <f t="shared" si="103"/>
        <v/>
      </c>
      <c r="M506" t="str">
        <f t="shared" si="104"/>
        <v/>
      </c>
      <c r="N506" t="e">
        <f t="shared" si="110"/>
        <v>#N/A</v>
      </c>
      <c r="P506">
        <f t="shared" si="105"/>
        <v>1</v>
      </c>
      <c r="Q506" t="str">
        <f t="shared" ca="1" si="106"/>
        <v/>
      </c>
      <c r="R506" t="str">
        <f t="shared" ca="1" si="107"/>
        <v/>
      </c>
      <c r="T506">
        <f t="shared" si="108"/>
        <v>0</v>
      </c>
      <c r="V506">
        <v>1</v>
      </c>
      <c r="W506" t="str">
        <f t="shared" si="98"/>
        <v/>
      </c>
    </row>
    <row r="507" spans="1:23" outlineLevel="2" x14ac:dyDescent="0.3">
      <c r="A507">
        <v>107.08</v>
      </c>
      <c r="I507">
        <f t="shared" si="101"/>
        <v>107.08</v>
      </c>
      <c r="J507" t="str">
        <f t="shared" si="102"/>
        <v/>
      </c>
      <c r="K507" t="e">
        <f t="shared" si="109"/>
        <v>#N/A</v>
      </c>
      <c r="L507" t="str">
        <f t="shared" si="103"/>
        <v/>
      </c>
      <c r="M507" t="str">
        <f t="shared" si="104"/>
        <v/>
      </c>
      <c r="N507" t="e">
        <f t="shared" si="110"/>
        <v>#N/A</v>
      </c>
      <c r="P507">
        <f t="shared" si="105"/>
        <v>1</v>
      </c>
      <c r="Q507" t="str">
        <f t="shared" ca="1" si="106"/>
        <v/>
      </c>
      <c r="R507" t="str">
        <f t="shared" ca="1" si="107"/>
        <v/>
      </c>
      <c r="T507">
        <f t="shared" si="108"/>
        <v>0</v>
      </c>
      <c r="V507">
        <v>1</v>
      </c>
      <c r="W507" t="str">
        <f t="shared" si="98"/>
        <v/>
      </c>
    </row>
    <row r="508" spans="1:23" outlineLevel="2" x14ac:dyDescent="0.3">
      <c r="A508">
        <v>159.77000000000001</v>
      </c>
      <c r="I508">
        <f t="shared" si="101"/>
        <v>159.77000000000001</v>
      </c>
      <c r="J508" t="str">
        <f t="shared" si="102"/>
        <v/>
      </c>
      <c r="K508" t="e">
        <f t="shared" si="109"/>
        <v>#N/A</v>
      </c>
      <c r="L508" t="str">
        <f t="shared" si="103"/>
        <v/>
      </c>
      <c r="M508" t="str">
        <f t="shared" si="104"/>
        <v/>
      </c>
      <c r="N508" t="e">
        <f t="shared" si="110"/>
        <v>#N/A</v>
      </c>
      <c r="P508">
        <f t="shared" si="105"/>
        <v>1</v>
      </c>
      <c r="Q508" t="str">
        <f t="shared" ca="1" si="106"/>
        <v/>
      </c>
      <c r="R508" t="str">
        <f t="shared" ca="1" si="107"/>
        <v/>
      </c>
      <c r="T508">
        <f t="shared" si="108"/>
        <v>0</v>
      </c>
      <c r="V508">
        <v>1</v>
      </c>
      <c r="W508" t="str">
        <f t="shared" si="98"/>
        <v/>
      </c>
    </row>
    <row r="509" spans="1:23" outlineLevel="2" x14ac:dyDescent="0.3">
      <c r="A509">
        <v>199.94</v>
      </c>
      <c r="I509">
        <f t="shared" si="101"/>
        <v>199.94</v>
      </c>
      <c r="J509">
        <f t="shared" si="102"/>
        <v>203.09</v>
      </c>
      <c r="K509">
        <f t="shared" si="109"/>
        <v>510</v>
      </c>
      <c r="L509" t="str">
        <f t="shared" si="103"/>
        <v/>
      </c>
      <c r="M509" t="str">
        <f t="shared" si="104"/>
        <v/>
      </c>
      <c r="N509" t="e">
        <f t="shared" si="110"/>
        <v>#N/A</v>
      </c>
      <c r="P509">
        <f t="shared" si="105"/>
        <v>1</v>
      </c>
      <c r="Q509" t="str">
        <f t="shared" ca="1" si="106"/>
        <v/>
      </c>
      <c r="R509" t="str">
        <f t="shared" ca="1" si="107"/>
        <v>510</v>
      </c>
      <c r="T509">
        <f t="shared" si="108"/>
        <v>0</v>
      </c>
      <c r="V509">
        <v>1</v>
      </c>
      <c r="W509" t="str">
        <f t="shared" si="98"/>
        <v/>
      </c>
    </row>
    <row r="510" spans="1:23" outlineLevel="2" x14ac:dyDescent="0.3">
      <c r="A510">
        <v>203.09</v>
      </c>
      <c r="I510">
        <f t="shared" si="101"/>
        <v>203.09</v>
      </c>
      <c r="J510" t="str">
        <f t="shared" si="102"/>
        <v/>
      </c>
      <c r="K510" t="e">
        <f t="shared" si="109"/>
        <v>#N/A</v>
      </c>
      <c r="L510" t="str">
        <f t="shared" si="103"/>
        <v/>
      </c>
      <c r="M510" t="str">
        <f t="shared" si="104"/>
        <v/>
      </c>
      <c r="N510" t="e">
        <f t="shared" si="110"/>
        <v>#N/A</v>
      </c>
      <c r="P510">
        <f t="shared" si="105"/>
        <v>1</v>
      </c>
      <c r="Q510" t="str">
        <f t="shared" ca="1" si="106"/>
        <v/>
      </c>
      <c r="R510" t="str">
        <f t="shared" ca="1" si="107"/>
        <v/>
      </c>
      <c r="T510">
        <f t="shared" si="108"/>
        <v>0</v>
      </c>
      <c r="V510">
        <v>1</v>
      </c>
      <c r="W510" t="str">
        <f t="shared" si="98"/>
        <v/>
      </c>
    </row>
    <row r="511" spans="1:23" outlineLevel="2" x14ac:dyDescent="0.3">
      <c r="A511">
        <v>160.91999999999999</v>
      </c>
      <c r="I511">
        <f t="shared" si="101"/>
        <v>160.91999999999999</v>
      </c>
      <c r="J511" t="str">
        <f>IF(AND(I512&gt;I511,I512&gt;I514,I512&gt;$D$5),I512,"")</f>
        <v/>
      </c>
      <c r="K511" t="e">
        <f t="shared" si="109"/>
        <v>#N/A</v>
      </c>
      <c r="L511" t="str">
        <f t="shared" si="103"/>
        <v/>
      </c>
      <c r="M511" t="str">
        <f>IF(AND(L512&lt;L511,L512&lt;L514,L512&lt;$G$5),L512,"")</f>
        <v/>
      </c>
      <c r="N511" t="e">
        <f t="shared" si="110"/>
        <v>#N/A</v>
      </c>
      <c r="P511">
        <f t="shared" si="105"/>
        <v>1</v>
      </c>
      <c r="Q511" t="str">
        <f t="shared" ca="1" si="106"/>
        <v/>
      </c>
      <c r="R511" t="str">
        <f t="shared" ca="1" si="107"/>
        <v/>
      </c>
      <c r="T511">
        <f t="shared" si="108"/>
        <v>0</v>
      </c>
      <c r="V511">
        <v>1</v>
      </c>
      <c r="W511" t="str">
        <f t="shared" si="98"/>
        <v/>
      </c>
    </row>
    <row r="512" spans="1:23" outlineLevel="2" x14ac:dyDescent="0.3">
      <c r="A512">
        <v>87.32</v>
      </c>
      <c r="I512">
        <f t="shared" si="101"/>
        <v>87.32</v>
      </c>
      <c r="J512" t="str">
        <f>IF(AND(I514&gt;I512,I514&gt;I515,I514&gt;$D$5),I514,"")</f>
        <v/>
      </c>
      <c r="K512" t="e">
        <f t="shared" si="109"/>
        <v>#N/A</v>
      </c>
      <c r="L512" t="str">
        <f t="shared" si="103"/>
        <v/>
      </c>
      <c r="M512" t="str">
        <f>IF(AND(L514&lt;L512,L514&lt;L515,L514&lt;$G$5),L514,"")</f>
        <v/>
      </c>
      <c r="N512" t="e">
        <f t="shared" si="110"/>
        <v>#N/A</v>
      </c>
      <c r="P512">
        <f t="shared" si="105"/>
        <v>1</v>
      </c>
      <c r="Q512">
        <f ca="1">IF(AND(A514&gt;=0,A512&lt;0),CELL("ROW",A514),IF(AND(A514&lt;0,A512&gt;=0),CELL("ROW",A514),""))</f>
        <v>514</v>
      </c>
      <c r="R512" t="str">
        <f t="shared" ca="1" si="107"/>
        <v>514</v>
      </c>
      <c r="T512">
        <f>S514-S512</f>
        <v>0</v>
      </c>
      <c r="V512">
        <v>1</v>
      </c>
      <c r="W512" t="str">
        <f t="shared" si="98"/>
        <v/>
      </c>
    </row>
    <row r="513" spans="1:23" outlineLevel="1" x14ac:dyDescent="0.3">
      <c r="O513" s="1" t="s">
        <v>26</v>
      </c>
      <c r="P513">
        <f>SUBTOTAL(3,P494:P512)</f>
        <v>19</v>
      </c>
      <c r="V513">
        <v>19</v>
      </c>
      <c r="W513">
        <f t="shared" si="98"/>
        <v>19</v>
      </c>
    </row>
    <row r="514" spans="1:23" outlineLevel="2" x14ac:dyDescent="0.3">
      <c r="A514">
        <v>-60.3</v>
      </c>
      <c r="I514" t="str">
        <f t="shared" si="101"/>
        <v/>
      </c>
      <c r="J514" t="str">
        <f t="shared" si="102"/>
        <v/>
      </c>
      <c r="K514" t="e">
        <f t="shared" ref="K514:K527" si="111">MATCH(J514,$A$1:$A$10041,0)</f>
        <v>#N/A</v>
      </c>
      <c r="L514">
        <f t="shared" si="103"/>
        <v>-60.3</v>
      </c>
      <c r="M514" t="str">
        <f t="shared" si="104"/>
        <v/>
      </c>
      <c r="N514" t="e">
        <f t="shared" ref="N514:N527" si="112">MATCH(M514,$A$1:$A$10041,0)</f>
        <v>#N/A</v>
      </c>
      <c r="P514">
        <f t="shared" si="105"/>
        <v>2</v>
      </c>
      <c r="Q514" t="str">
        <f t="shared" ca="1" si="106"/>
        <v/>
      </c>
      <c r="R514" t="str">
        <f t="shared" ca="1" si="107"/>
        <v/>
      </c>
      <c r="T514">
        <f t="shared" si="108"/>
        <v>0</v>
      </c>
      <c r="V514">
        <v>2</v>
      </c>
      <c r="W514" t="str">
        <f t="shared" si="98"/>
        <v/>
      </c>
    </row>
    <row r="515" spans="1:23" outlineLevel="2" x14ac:dyDescent="0.3">
      <c r="A515">
        <v>-109.77</v>
      </c>
      <c r="I515" t="str">
        <f t="shared" si="101"/>
        <v/>
      </c>
      <c r="J515" t="str">
        <f t="shared" si="102"/>
        <v/>
      </c>
      <c r="K515" t="e">
        <f t="shared" si="111"/>
        <v>#N/A</v>
      </c>
      <c r="L515">
        <f t="shared" si="103"/>
        <v>-109.77</v>
      </c>
      <c r="M515" t="str">
        <f t="shared" si="104"/>
        <v/>
      </c>
      <c r="N515" t="e">
        <f t="shared" si="112"/>
        <v>#N/A</v>
      </c>
      <c r="P515">
        <f t="shared" si="105"/>
        <v>2</v>
      </c>
      <c r="Q515" t="str">
        <f t="shared" ca="1" si="106"/>
        <v/>
      </c>
      <c r="R515" t="str">
        <f t="shared" ca="1" si="107"/>
        <v/>
      </c>
      <c r="T515">
        <f t="shared" si="108"/>
        <v>0</v>
      </c>
      <c r="V515">
        <v>2</v>
      </c>
      <c r="W515" t="str">
        <f t="shared" ref="W515:W578" si="113">IF(AND(V515&gt;2,V515&lt;20),V515,"")</f>
        <v/>
      </c>
    </row>
    <row r="516" spans="1:23" outlineLevel="2" x14ac:dyDescent="0.3">
      <c r="A516">
        <v>-142.47</v>
      </c>
      <c r="I516" t="str">
        <f t="shared" si="101"/>
        <v/>
      </c>
      <c r="J516" t="str">
        <f t="shared" si="102"/>
        <v/>
      </c>
      <c r="K516" t="e">
        <f t="shared" si="111"/>
        <v>#N/A</v>
      </c>
      <c r="L516">
        <f t="shared" si="103"/>
        <v>-142.47</v>
      </c>
      <c r="M516" t="str">
        <f t="shared" si="104"/>
        <v/>
      </c>
      <c r="N516" t="e">
        <f t="shared" si="112"/>
        <v>#N/A</v>
      </c>
      <c r="P516">
        <f t="shared" si="105"/>
        <v>2</v>
      </c>
      <c r="Q516" t="str">
        <f t="shared" ca="1" si="106"/>
        <v/>
      </c>
      <c r="R516" t="str">
        <f t="shared" ca="1" si="107"/>
        <v/>
      </c>
      <c r="T516">
        <f t="shared" si="108"/>
        <v>0</v>
      </c>
      <c r="V516">
        <v>2</v>
      </c>
      <c r="W516" t="str">
        <f t="shared" si="113"/>
        <v/>
      </c>
    </row>
    <row r="517" spans="1:23" outlineLevel="2" x14ac:dyDescent="0.3">
      <c r="A517">
        <v>-159.88</v>
      </c>
      <c r="I517" t="str">
        <f t="shared" si="101"/>
        <v/>
      </c>
      <c r="J517" t="str">
        <f t="shared" si="102"/>
        <v/>
      </c>
      <c r="K517" t="e">
        <f t="shared" si="111"/>
        <v>#N/A</v>
      </c>
      <c r="L517">
        <f t="shared" si="103"/>
        <v>-159.88</v>
      </c>
      <c r="M517" t="str">
        <f t="shared" si="104"/>
        <v/>
      </c>
      <c r="N517" t="e">
        <f t="shared" si="112"/>
        <v>#N/A</v>
      </c>
      <c r="P517">
        <f t="shared" si="105"/>
        <v>2</v>
      </c>
      <c r="Q517" t="str">
        <f t="shared" ca="1" si="106"/>
        <v/>
      </c>
      <c r="R517" t="str">
        <f t="shared" ca="1" si="107"/>
        <v/>
      </c>
      <c r="T517">
        <f t="shared" si="108"/>
        <v>0</v>
      </c>
      <c r="V517">
        <v>2</v>
      </c>
      <c r="W517" t="str">
        <f t="shared" si="113"/>
        <v/>
      </c>
    </row>
    <row r="518" spans="1:23" outlineLevel="2" x14ac:dyDescent="0.3">
      <c r="A518">
        <v>-163.99</v>
      </c>
      <c r="I518" t="str">
        <f t="shared" si="101"/>
        <v/>
      </c>
      <c r="J518" t="str">
        <f t="shared" si="102"/>
        <v/>
      </c>
      <c r="K518" t="e">
        <f t="shared" si="111"/>
        <v>#N/A</v>
      </c>
      <c r="L518">
        <f t="shared" si="103"/>
        <v>-163.99</v>
      </c>
      <c r="M518" t="str">
        <f t="shared" si="104"/>
        <v/>
      </c>
      <c r="N518" t="e">
        <f t="shared" si="112"/>
        <v>#N/A</v>
      </c>
      <c r="P518">
        <f t="shared" si="105"/>
        <v>2</v>
      </c>
      <c r="Q518" t="str">
        <f t="shared" ca="1" si="106"/>
        <v/>
      </c>
      <c r="R518" t="str">
        <f t="shared" ca="1" si="107"/>
        <v/>
      </c>
      <c r="T518">
        <f t="shared" si="108"/>
        <v>0</v>
      </c>
      <c r="V518">
        <v>2</v>
      </c>
      <c r="W518" t="str">
        <f t="shared" si="113"/>
        <v/>
      </c>
    </row>
    <row r="519" spans="1:23" outlineLevel="2" x14ac:dyDescent="0.3">
      <c r="A519">
        <v>-157.71</v>
      </c>
      <c r="I519" t="str">
        <f t="shared" si="101"/>
        <v/>
      </c>
      <c r="J519" t="str">
        <f t="shared" si="102"/>
        <v/>
      </c>
      <c r="K519" t="e">
        <f t="shared" si="111"/>
        <v>#N/A</v>
      </c>
      <c r="L519">
        <f t="shared" si="103"/>
        <v>-157.71</v>
      </c>
      <c r="M519" t="str">
        <f t="shared" si="104"/>
        <v/>
      </c>
      <c r="N519" t="e">
        <f t="shared" si="112"/>
        <v>#N/A</v>
      </c>
      <c r="P519">
        <f t="shared" si="105"/>
        <v>2</v>
      </c>
      <c r="Q519" t="str">
        <f t="shared" ca="1" si="106"/>
        <v/>
      </c>
      <c r="R519" t="str">
        <f t="shared" ca="1" si="107"/>
        <v/>
      </c>
      <c r="T519">
        <f t="shared" si="108"/>
        <v>0</v>
      </c>
      <c r="V519">
        <v>2</v>
      </c>
      <c r="W519" t="str">
        <f t="shared" si="113"/>
        <v/>
      </c>
    </row>
    <row r="520" spans="1:23" outlineLevel="2" x14ac:dyDescent="0.3">
      <c r="A520">
        <v>-144.69</v>
      </c>
      <c r="I520" t="str">
        <f t="shared" si="101"/>
        <v/>
      </c>
      <c r="J520" t="str">
        <f t="shared" si="102"/>
        <v/>
      </c>
      <c r="K520" t="e">
        <f t="shared" si="111"/>
        <v>#N/A</v>
      </c>
      <c r="L520">
        <f t="shared" si="103"/>
        <v>-144.69</v>
      </c>
      <c r="M520" t="str">
        <f t="shared" si="104"/>
        <v/>
      </c>
      <c r="N520" t="e">
        <f t="shared" si="112"/>
        <v>#N/A</v>
      </c>
      <c r="P520">
        <f t="shared" si="105"/>
        <v>2</v>
      </c>
      <c r="Q520" t="str">
        <f t="shared" ca="1" si="106"/>
        <v/>
      </c>
      <c r="R520" t="str">
        <f t="shared" ca="1" si="107"/>
        <v/>
      </c>
      <c r="T520">
        <f t="shared" si="108"/>
        <v>0</v>
      </c>
      <c r="V520">
        <v>2</v>
      </c>
      <c r="W520" t="str">
        <f t="shared" si="113"/>
        <v/>
      </c>
    </row>
    <row r="521" spans="1:23" outlineLevel="2" x14ac:dyDescent="0.3">
      <c r="A521">
        <v>-127.95</v>
      </c>
      <c r="I521" t="str">
        <f t="shared" si="101"/>
        <v/>
      </c>
      <c r="J521" t="str">
        <f t="shared" si="102"/>
        <v/>
      </c>
      <c r="K521" t="e">
        <f t="shared" si="111"/>
        <v>#N/A</v>
      </c>
      <c r="L521">
        <f t="shared" si="103"/>
        <v>-127.95</v>
      </c>
      <c r="M521" t="str">
        <f t="shared" si="104"/>
        <v/>
      </c>
      <c r="N521" t="e">
        <f t="shared" si="112"/>
        <v>#N/A</v>
      </c>
      <c r="P521">
        <f t="shared" si="105"/>
        <v>2</v>
      </c>
      <c r="Q521" t="str">
        <f t="shared" ca="1" si="106"/>
        <v/>
      </c>
      <c r="R521" t="str">
        <f t="shared" ca="1" si="107"/>
        <v/>
      </c>
      <c r="T521">
        <f t="shared" si="108"/>
        <v>0</v>
      </c>
      <c r="V521">
        <v>2</v>
      </c>
      <c r="W521" t="str">
        <f t="shared" si="113"/>
        <v/>
      </c>
    </row>
    <row r="522" spans="1:23" outlineLevel="2" x14ac:dyDescent="0.3">
      <c r="A522">
        <v>-108.96</v>
      </c>
      <c r="I522" t="str">
        <f t="shared" si="101"/>
        <v/>
      </c>
      <c r="J522" t="str">
        <f t="shared" si="102"/>
        <v/>
      </c>
      <c r="K522" t="e">
        <f t="shared" si="111"/>
        <v>#N/A</v>
      </c>
      <c r="L522">
        <f t="shared" si="103"/>
        <v>-108.96</v>
      </c>
      <c r="M522" t="str">
        <f t="shared" si="104"/>
        <v/>
      </c>
      <c r="N522" t="e">
        <f t="shared" si="112"/>
        <v>#N/A</v>
      </c>
      <c r="P522">
        <f t="shared" si="105"/>
        <v>2</v>
      </c>
      <c r="Q522" t="str">
        <f t="shared" ca="1" si="106"/>
        <v/>
      </c>
      <c r="R522" t="str">
        <f t="shared" ca="1" si="107"/>
        <v/>
      </c>
      <c r="T522">
        <f t="shared" si="108"/>
        <v>0</v>
      </c>
      <c r="V522">
        <v>2</v>
      </c>
      <c r="W522" t="str">
        <f t="shared" si="113"/>
        <v/>
      </c>
    </row>
    <row r="523" spans="1:23" outlineLevel="2" x14ac:dyDescent="0.3">
      <c r="A523">
        <v>-88.84</v>
      </c>
      <c r="I523" t="str">
        <f t="shared" si="101"/>
        <v/>
      </c>
      <c r="J523" t="str">
        <f t="shared" si="102"/>
        <v/>
      </c>
      <c r="K523" t="e">
        <f t="shared" si="111"/>
        <v>#N/A</v>
      </c>
      <c r="L523">
        <f t="shared" si="103"/>
        <v>-88.84</v>
      </c>
      <c r="M523" t="str">
        <f t="shared" si="104"/>
        <v/>
      </c>
      <c r="N523" t="e">
        <f t="shared" si="112"/>
        <v>#N/A</v>
      </c>
      <c r="P523">
        <f t="shared" si="105"/>
        <v>2</v>
      </c>
      <c r="Q523" t="str">
        <f t="shared" ca="1" si="106"/>
        <v/>
      </c>
      <c r="R523" t="str">
        <f t="shared" ca="1" si="107"/>
        <v/>
      </c>
      <c r="T523">
        <f t="shared" si="108"/>
        <v>0</v>
      </c>
      <c r="V523">
        <v>2</v>
      </c>
      <c r="W523" t="str">
        <f t="shared" si="113"/>
        <v/>
      </c>
    </row>
    <row r="524" spans="1:23" outlineLevel="2" x14ac:dyDescent="0.3">
      <c r="A524">
        <v>-69.45</v>
      </c>
      <c r="I524" t="str">
        <f t="shared" si="101"/>
        <v/>
      </c>
      <c r="J524" t="str">
        <f t="shared" si="102"/>
        <v/>
      </c>
      <c r="K524" t="e">
        <f t="shared" si="111"/>
        <v>#N/A</v>
      </c>
      <c r="L524">
        <f t="shared" si="103"/>
        <v>-69.45</v>
      </c>
      <c r="M524" t="str">
        <f t="shared" si="104"/>
        <v/>
      </c>
      <c r="N524" t="e">
        <f t="shared" si="112"/>
        <v>#N/A</v>
      </c>
      <c r="P524">
        <f t="shared" si="105"/>
        <v>2</v>
      </c>
      <c r="Q524" t="str">
        <f t="shared" ca="1" si="106"/>
        <v/>
      </c>
      <c r="R524" t="str">
        <f t="shared" ca="1" si="107"/>
        <v/>
      </c>
      <c r="T524">
        <f t="shared" si="108"/>
        <v>0</v>
      </c>
      <c r="V524">
        <v>2</v>
      </c>
      <c r="W524" t="str">
        <f t="shared" si="113"/>
        <v/>
      </c>
    </row>
    <row r="525" spans="1:23" outlineLevel="2" x14ac:dyDescent="0.3">
      <c r="A525">
        <v>-50.89</v>
      </c>
      <c r="I525" t="str">
        <f t="shared" si="101"/>
        <v/>
      </c>
      <c r="J525" t="str">
        <f t="shared" si="102"/>
        <v/>
      </c>
      <c r="K525" t="e">
        <f t="shared" si="111"/>
        <v>#N/A</v>
      </c>
      <c r="L525">
        <f t="shared" si="103"/>
        <v>-50.89</v>
      </c>
      <c r="M525" t="str">
        <f t="shared" si="104"/>
        <v/>
      </c>
      <c r="N525" t="e">
        <f t="shared" si="112"/>
        <v>#N/A</v>
      </c>
      <c r="P525">
        <f t="shared" si="105"/>
        <v>2</v>
      </c>
      <c r="Q525" t="str">
        <f t="shared" ca="1" si="106"/>
        <v/>
      </c>
      <c r="R525" t="str">
        <f t="shared" ca="1" si="107"/>
        <v/>
      </c>
      <c r="T525">
        <f t="shared" si="108"/>
        <v>0</v>
      </c>
      <c r="V525">
        <v>2</v>
      </c>
      <c r="W525" t="str">
        <f t="shared" si="113"/>
        <v/>
      </c>
    </row>
    <row r="526" spans="1:23" outlineLevel="2" x14ac:dyDescent="0.3">
      <c r="A526">
        <v>-33.99</v>
      </c>
      <c r="I526" t="str">
        <f t="shared" si="101"/>
        <v/>
      </c>
      <c r="J526" t="str">
        <f>IF(AND(I527&gt;I526,I527&gt;I529,I527&gt;$D$5),I527,"")</f>
        <v/>
      </c>
      <c r="K526" t="e">
        <f t="shared" si="111"/>
        <v>#N/A</v>
      </c>
      <c r="L526">
        <f t="shared" si="103"/>
        <v>-33.99</v>
      </c>
      <c r="M526" t="str">
        <f>IF(AND(L527&lt;L526,L527&lt;L529,L527&lt;$G$5),L527,"")</f>
        <v/>
      </c>
      <c r="N526" t="e">
        <f t="shared" si="112"/>
        <v>#N/A</v>
      </c>
      <c r="P526">
        <f t="shared" si="105"/>
        <v>2</v>
      </c>
      <c r="Q526" t="str">
        <f t="shared" ca="1" si="106"/>
        <v/>
      </c>
      <c r="R526" t="str">
        <f t="shared" ca="1" si="107"/>
        <v/>
      </c>
      <c r="T526">
        <f t="shared" si="108"/>
        <v>0</v>
      </c>
      <c r="V526">
        <v>2</v>
      </c>
      <c r="W526" t="str">
        <f t="shared" si="113"/>
        <v/>
      </c>
    </row>
    <row r="527" spans="1:23" outlineLevel="2" x14ac:dyDescent="0.3">
      <c r="A527">
        <v>-19.579999999999998</v>
      </c>
      <c r="I527" t="str">
        <f t="shared" si="101"/>
        <v/>
      </c>
      <c r="J527" t="str">
        <f>IF(AND(I529&gt;I527,I529&gt;I530,I529&gt;$D$5),I529,"")</f>
        <v/>
      </c>
      <c r="K527" t="e">
        <f t="shared" si="111"/>
        <v>#N/A</v>
      </c>
      <c r="L527">
        <f t="shared" si="103"/>
        <v>-19.579999999999998</v>
      </c>
      <c r="M527" t="str">
        <f>IF(AND(L529&lt;L527,L529&lt;L530,L529&lt;$G$5),L529,"")</f>
        <v/>
      </c>
      <c r="N527" t="e">
        <f t="shared" si="112"/>
        <v>#N/A</v>
      </c>
      <c r="P527">
        <f t="shared" si="105"/>
        <v>2</v>
      </c>
      <c r="Q527">
        <f ca="1">IF(AND(A529&gt;=0,A527&lt;0),CELL("ROW",A529),IF(AND(A529&lt;0,A527&gt;=0),CELL("ROW",A529),""))</f>
        <v>529</v>
      </c>
      <c r="R527" t="str">
        <f t="shared" ca="1" si="107"/>
        <v>529</v>
      </c>
      <c r="T527">
        <f>S529-S527</f>
        <v>0</v>
      </c>
      <c r="V527">
        <v>2</v>
      </c>
      <c r="W527" t="str">
        <f t="shared" si="113"/>
        <v/>
      </c>
    </row>
    <row r="528" spans="1:23" outlineLevel="1" x14ac:dyDescent="0.3">
      <c r="O528" s="1" t="s">
        <v>27</v>
      </c>
      <c r="P528">
        <f>SUBTOTAL(3,P514:P527)</f>
        <v>14</v>
      </c>
      <c r="V528">
        <v>14</v>
      </c>
      <c r="W528">
        <f t="shared" si="113"/>
        <v>14</v>
      </c>
    </row>
    <row r="529" spans="1:23" outlineLevel="2" x14ac:dyDescent="0.3">
      <c r="A529">
        <v>16.350000000000001</v>
      </c>
      <c r="I529">
        <f t="shared" si="101"/>
        <v>16.350000000000001</v>
      </c>
      <c r="J529" t="str">
        <f t="shared" si="102"/>
        <v/>
      </c>
      <c r="K529" t="e">
        <f t="shared" ref="K529:K563" si="114">MATCH(J529,$A$1:$A$10041,0)</f>
        <v>#N/A</v>
      </c>
      <c r="L529" t="str">
        <f t="shared" si="103"/>
        <v/>
      </c>
      <c r="M529" t="str">
        <f t="shared" si="104"/>
        <v/>
      </c>
      <c r="N529" t="e">
        <f t="shared" ref="N529:N563" si="115">MATCH(M529,$A$1:$A$10041,0)</f>
        <v>#N/A</v>
      </c>
      <c r="P529">
        <f t="shared" si="105"/>
        <v>1</v>
      </c>
      <c r="Q529" t="str">
        <f t="shared" ca="1" si="106"/>
        <v/>
      </c>
      <c r="R529" t="str">
        <f t="shared" ca="1" si="107"/>
        <v/>
      </c>
      <c r="T529">
        <f t="shared" si="108"/>
        <v>0</v>
      </c>
      <c r="V529">
        <v>1</v>
      </c>
      <c r="W529" t="str">
        <f t="shared" si="113"/>
        <v/>
      </c>
    </row>
    <row r="530" spans="1:23" outlineLevel="2" x14ac:dyDescent="0.3">
      <c r="A530">
        <v>25.19</v>
      </c>
      <c r="I530">
        <f t="shared" si="101"/>
        <v>25.19</v>
      </c>
      <c r="J530" t="str">
        <f t="shared" si="102"/>
        <v/>
      </c>
      <c r="K530" t="e">
        <f t="shared" si="114"/>
        <v>#N/A</v>
      </c>
      <c r="L530" t="str">
        <f t="shared" si="103"/>
        <v/>
      </c>
      <c r="M530" t="str">
        <f t="shared" si="104"/>
        <v/>
      </c>
      <c r="N530" t="e">
        <f t="shared" si="115"/>
        <v>#N/A</v>
      </c>
      <c r="P530">
        <f t="shared" si="105"/>
        <v>1</v>
      </c>
      <c r="Q530" t="str">
        <f t="shared" ca="1" si="106"/>
        <v/>
      </c>
      <c r="R530" t="str">
        <f t="shared" ca="1" si="107"/>
        <v/>
      </c>
      <c r="T530">
        <f t="shared" si="108"/>
        <v>0</v>
      </c>
      <c r="V530">
        <v>1</v>
      </c>
      <c r="W530" t="str">
        <f t="shared" si="113"/>
        <v/>
      </c>
    </row>
    <row r="531" spans="1:23" outlineLevel="2" x14ac:dyDescent="0.3">
      <c r="A531">
        <v>32.18</v>
      </c>
      <c r="I531">
        <f t="shared" si="101"/>
        <v>32.18</v>
      </c>
      <c r="J531" t="str">
        <f t="shared" si="102"/>
        <v/>
      </c>
      <c r="K531" t="e">
        <f t="shared" si="114"/>
        <v>#N/A</v>
      </c>
      <c r="L531" t="str">
        <f t="shared" si="103"/>
        <v/>
      </c>
      <c r="M531" t="str">
        <f t="shared" si="104"/>
        <v/>
      </c>
      <c r="N531" t="e">
        <f t="shared" si="115"/>
        <v>#N/A</v>
      </c>
      <c r="P531">
        <f t="shared" si="105"/>
        <v>1</v>
      </c>
      <c r="Q531" t="str">
        <f t="shared" ca="1" si="106"/>
        <v/>
      </c>
      <c r="R531" t="str">
        <f t="shared" ca="1" si="107"/>
        <v/>
      </c>
      <c r="T531">
        <f t="shared" si="108"/>
        <v>0</v>
      </c>
      <c r="V531">
        <v>1</v>
      </c>
      <c r="W531" t="str">
        <f t="shared" si="113"/>
        <v/>
      </c>
    </row>
    <row r="532" spans="1:23" outlineLevel="2" x14ac:dyDescent="0.3">
      <c r="A532">
        <v>36.47</v>
      </c>
      <c r="I532">
        <f t="shared" si="101"/>
        <v>36.47</v>
      </c>
      <c r="J532" t="str">
        <f t="shared" si="102"/>
        <v/>
      </c>
      <c r="K532" t="e">
        <f t="shared" si="114"/>
        <v>#N/A</v>
      </c>
      <c r="L532" t="str">
        <f t="shared" si="103"/>
        <v/>
      </c>
      <c r="M532" t="str">
        <f t="shared" si="104"/>
        <v/>
      </c>
      <c r="N532" t="e">
        <f t="shared" si="115"/>
        <v>#N/A</v>
      </c>
      <c r="P532">
        <f t="shared" si="105"/>
        <v>1</v>
      </c>
      <c r="Q532" t="str">
        <f t="shared" ca="1" si="106"/>
        <v/>
      </c>
      <c r="R532" t="str">
        <f t="shared" ca="1" si="107"/>
        <v/>
      </c>
      <c r="T532">
        <f t="shared" si="108"/>
        <v>0</v>
      </c>
      <c r="V532">
        <v>1</v>
      </c>
      <c r="W532" t="str">
        <f t="shared" si="113"/>
        <v/>
      </c>
    </row>
    <row r="533" spans="1:23" outlineLevel="2" x14ac:dyDescent="0.3">
      <c r="A533">
        <v>38.869999999999997</v>
      </c>
      <c r="I533">
        <f t="shared" si="101"/>
        <v>38.869999999999997</v>
      </c>
      <c r="J533" t="str">
        <f t="shared" si="102"/>
        <v/>
      </c>
      <c r="K533" t="e">
        <f t="shared" si="114"/>
        <v>#N/A</v>
      </c>
      <c r="L533" t="str">
        <f t="shared" si="103"/>
        <v/>
      </c>
      <c r="M533" t="str">
        <f t="shared" si="104"/>
        <v/>
      </c>
      <c r="N533" t="e">
        <f t="shared" si="115"/>
        <v>#N/A</v>
      </c>
      <c r="P533">
        <f t="shared" si="105"/>
        <v>1</v>
      </c>
      <c r="Q533" t="str">
        <f t="shared" ca="1" si="106"/>
        <v/>
      </c>
      <c r="R533" t="str">
        <f t="shared" ca="1" si="107"/>
        <v/>
      </c>
      <c r="T533">
        <f t="shared" si="108"/>
        <v>0</v>
      </c>
      <c r="V533">
        <v>1</v>
      </c>
      <c r="W533" t="str">
        <f t="shared" si="113"/>
        <v/>
      </c>
    </row>
    <row r="534" spans="1:23" outlineLevel="2" x14ac:dyDescent="0.3">
      <c r="A534">
        <v>41.23</v>
      </c>
      <c r="I534">
        <f t="shared" si="101"/>
        <v>41.23</v>
      </c>
      <c r="J534" t="str">
        <f t="shared" si="102"/>
        <v/>
      </c>
      <c r="K534" t="e">
        <f t="shared" si="114"/>
        <v>#N/A</v>
      </c>
      <c r="L534" t="str">
        <f t="shared" si="103"/>
        <v/>
      </c>
      <c r="M534" t="str">
        <f t="shared" si="104"/>
        <v/>
      </c>
      <c r="N534" t="e">
        <f t="shared" si="115"/>
        <v>#N/A</v>
      </c>
      <c r="P534">
        <f t="shared" si="105"/>
        <v>1</v>
      </c>
      <c r="Q534" t="str">
        <f t="shared" ca="1" si="106"/>
        <v/>
      </c>
      <c r="R534" t="str">
        <f t="shared" ca="1" si="107"/>
        <v/>
      </c>
      <c r="T534">
        <f t="shared" si="108"/>
        <v>0</v>
      </c>
      <c r="V534">
        <v>1</v>
      </c>
      <c r="W534" t="str">
        <f t="shared" si="113"/>
        <v/>
      </c>
    </row>
    <row r="535" spans="1:23" outlineLevel="2" x14ac:dyDescent="0.3">
      <c r="A535">
        <v>42.94</v>
      </c>
      <c r="I535">
        <f t="shared" ref="I535:I600" si="116">IF(A535&gt;0,A535,"")</f>
        <v>42.94</v>
      </c>
      <c r="J535" t="str">
        <f t="shared" ref="J535:J600" si="117">IF(AND(I536&gt;I535,I536&gt;I537,I536&gt;$D$5),I536,"")</f>
        <v/>
      </c>
      <c r="K535" t="e">
        <f t="shared" si="114"/>
        <v>#N/A</v>
      </c>
      <c r="L535" t="str">
        <f t="shared" ref="L535:L600" si="118">IF(A535&lt;0,A535,"")</f>
        <v/>
      </c>
      <c r="M535" t="str">
        <f t="shared" ref="M535:M600" si="119">IF(AND(L536&lt;L535,L536&lt;L537,L536&lt;$G$5),L536,"")</f>
        <v/>
      </c>
      <c r="N535" t="e">
        <f t="shared" si="115"/>
        <v>#N/A</v>
      </c>
      <c r="P535">
        <f t="shared" ref="P535:P600" si="120">IF(A535&gt;0,1,2)</f>
        <v>1</v>
      </c>
      <c r="Q535" t="str">
        <f t="shared" ref="Q535:Q600" ca="1" si="121">IF(AND(A536&gt;=0,A535&lt;0),CELL("ROW",A536),IF(AND(A536&lt;0,A535&gt;=0),CELL("ROW",A536),""))</f>
        <v/>
      </c>
      <c r="R535" t="str">
        <f t="shared" ref="R535:R600" ca="1" si="122">IF(ISNUMBER(K535),IF(INT(K535)=K535,K535,""),"")&amp;IF(ISNUMBER(N535),IF(INT(N535)=N535,N535,""),"")&amp;IF(ISNUMBER(Q535),IF(INT(Q535)=Q535,Q535,""),"")</f>
        <v/>
      </c>
      <c r="T535">
        <f t="shared" ref="T535:T600" si="123">S536-S535</f>
        <v>0</v>
      </c>
      <c r="V535">
        <v>1</v>
      </c>
      <c r="W535" t="str">
        <f t="shared" si="113"/>
        <v/>
      </c>
    </row>
    <row r="536" spans="1:23" outlineLevel="2" x14ac:dyDescent="0.3">
      <c r="A536">
        <v>43.18</v>
      </c>
      <c r="I536">
        <f t="shared" si="116"/>
        <v>43.18</v>
      </c>
      <c r="J536" t="str">
        <f t="shared" si="117"/>
        <v/>
      </c>
      <c r="K536" t="e">
        <f t="shared" si="114"/>
        <v>#N/A</v>
      </c>
      <c r="L536" t="str">
        <f t="shared" si="118"/>
        <v/>
      </c>
      <c r="M536" t="str">
        <f t="shared" si="119"/>
        <v/>
      </c>
      <c r="N536" t="e">
        <f t="shared" si="115"/>
        <v>#N/A</v>
      </c>
      <c r="P536">
        <f t="shared" si="120"/>
        <v>1</v>
      </c>
      <c r="Q536" t="str">
        <f t="shared" ca="1" si="121"/>
        <v/>
      </c>
      <c r="R536" t="str">
        <f t="shared" ca="1" si="122"/>
        <v/>
      </c>
      <c r="T536">
        <f t="shared" si="123"/>
        <v>0</v>
      </c>
      <c r="V536">
        <v>1</v>
      </c>
      <c r="W536" t="str">
        <f t="shared" si="113"/>
        <v/>
      </c>
    </row>
    <row r="537" spans="1:23" outlineLevel="2" x14ac:dyDescent="0.3">
      <c r="A537">
        <v>43.24</v>
      </c>
      <c r="I537">
        <f t="shared" si="116"/>
        <v>43.24</v>
      </c>
      <c r="J537" t="str">
        <f t="shared" si="117"/>
        <v/>
      </c>
      <c r="K537" t="e">
        <f t="shared" si="114"/>
        <v>#N/A</v>
      </c>
      <c r="L537" t="str">
        <f t="shared" si="118"/>
        <v/>
      </c>
      <c r="M537" t="str">
        <f t="shared" si="119"/>
        <v/>
      </c>
      <c r="N537" t="e">
        <f t="shared" si="115"/>
        <v>#N/A</v>
      </c>
      <c r="P537">
        <f t="shared" si="120"/>
        <v>1</v>
      </c>
      <c r="Q537" t="str">
        <f t="shared" ca="1" si="121"/>
        <v/>
      </c>
      <c r="R537" t="str">
        <f t="shared" ca="1" si="122"/>
        <v/>
      </c>
      <c r="T537">
        <f t="shared" si="123"/>
        <v>0</v>
      </c>
      <c r="V537">
        <v>1</v>
      </c>
      <c r="W537" t="str">
        <f t="shared" si="113"/>
        <v/>
      </c>
    </row>
    <row r="538" spans="1:23" outlineLevel="2" x14ac:dyDescent="0.3">
      <c r="A538">
        <v>44.04</v>
      </c>
      <c r="I538">
        <f t="shared" si="116"/>
        <v>44.04</v>
      </c>
      <c r="J538" t="str">
        <f t="shared" si="117"/>
        <v/>
      </c>
      <c r="K538" t="e">
        <f t="shared" si="114"/>
        <v>#N/A</v>
      </c>
      <c r="L538" t="str">
        <f t="shared" si="118"/>
        <v/>
      </c>
      <c r="M538" t="str">
        <f t="shared" si="119"/>
        <v/>
      </c>
      <c r="N538" t="e">
        <f t="shared" si="115"/>
        <v>#N/A</v>
      </c>
      <c r="P538">
        <f t="shared" si="120"/>
        <v>1</v>
      </c>
      <c r="Q538" t="str">
        <f t="shared" ca="1" si="121"/>
        <v/>
      </c>
      <c r="R538" t="str">
        <f t="shared" ca="1" si="122"/>
        <v/>
      </c>
      <c r="T538">
        <f t="shared" si="123"/>
        <v>0</v>
      </c>
      <c r="V538">
        <v>1</v>
      </c>
      <c r="W538" t="str">
        <f t="shared" si="113"/>
        <v/>
      </c>
    </row>
    <row r="539" spans="1:23" outlineLevel="2" x14ac:dyDescent="0.3">
      <c r="A539">
        <v>44.8</v>
      </c>
      <c r="I539">
        <f t="shared" si="116"/>
        <v>44.8</v>
      </c>
      <c r="J539" t="str">
        <f t="shared" si="117"/>
        <v/>
      </c>
      <c r="K539" t="e">
        <f t="shared" si="114"/>
        <v>#N/A</v>
      </c>
      <c r="L539" t="str">
        <f t="shared" si="118"/>
        <v/>
      </c>
      <c r="M539" t="str">
        <f t="shared" si="119"/>
        <v/>
      </c>
      <c r="N539" t="e">
        <f t="shared" si="115"/>
        <v>#N/A</v>
      </c>
      <c r="P539">
        <f t="shared" si="120"/>
        <v>1</v>
      </c>
      <c r="Q539" t="str">
        <f t="shared" ca="1" si="121"/>
        <v/>
      </c>
      <c r="R539" t="str">
        <f t="shared" ca="1" si="122"/>
        <v/>
      </c>
      <c r="T539">
        <f t="shared" si="123"/>
        <v>0</v>
      </c>
      <c r="V539">
        <v>1</v>
      </c>
      <c r="W539" t="str">
        <f t="shared" si="113"/>
        <v/>
      </c>
    </row>
    <row r="540" spans="1:23" outlineLevel="2" x14ac:dyDescent="0.3">
      <c r="A540">
        <v>44.52</v>
      </c>
      <c r="I540">
        <f t="shared" si="116"/>
        <v>44.52</v>
      </c>
      <c r="J540" t="str">
        <f t="shared" si="117"/>
        <v/>
      </c>
      <c r="K540" t="e">
        <f t="shared" si="114"/>
        <v>#N/A</v>
      </c>
      <c r="L540" t="str">
        <f t="shared" si="118"/>
        <v/>
      </c>
      <c r="M540" t="str">
        <f t="shared" si="119"/>
        <v/>
      </c>
      <c r="N540" t="e">
        <f t="shared" si="115"/>
        <v>#N/A</v>
      </c>
      <c r="P540">
        <f t="shared" si="120"/>
        <v>1</v>
      </c>
      <c r="Q540" t="str">
        <f t="shared" ca="1" si="121"/>
        <v/>
      </c>
      <c r="R540" t="str">
        <f t="shared" ca="1" si="122"/>
        <v/>
      </c>
      <c r="T540">
        <f t="shared" si="123"/>
        <v>0</v>
      </c>
      <c r="V540">
        <v>1</v>
      </c>
      <c r="W540" t="str">
        <f t="shared" si="113"/>
        <v/>
      </c>
    </row>
    <row r="541" spans="1:23" outlineLevel="2" x14ac:dyDescent="0.3">
      <c r="A541">
        <v>43.2</v>
      </c>
      <c r="I541">
        <f t="shared" si="116"/>
        <v>43.2</v>
      </c>
      <c r="J541" t="str">
        <f t="shared" si="117"/>
        <v/>
      </c>
      <c r="K541" t="e">
        <f t="shared" si="114"/>
        <v>#N/A</v>
      </c>
      <c r="L541" t="str">
        <f t="shared" si="118"/>
        <v/>
      </c>
      <c r="M541" t="str">
        <f t="shared" si="119"/>
        <v/>
      </c>
      <c r="N541" t="e">
        <f t="shared" si="115"/>
        <v>#N/A</v>
      </c>
      <c r="P541">
        <f t="shared" si="120"/>
        <v>1</v>
      </c>
      <c r="Q541" t="str">
        <f t="shared" ca="1" si="121"/>
        <v/>
      </c>
      <c r="R541" t="str">
        <f t="shared" ca="1" si="122"/>
        <v/>
      </c>
      <c r="T541">
        <f t="shared" si="123"/>
        <v>0</v>
      </c>
      <c r="V541">
        <v>1</v>
      </c>
      <c r="W541" t="str">
        <f t="shared" si="113"/>
        <v/>
      </c>
    </row>
    <row r="542" spans="1:23" outlineLevel="2" x14ac:dyDescent="0.3">
      <c r="A542">
        <v>41.97</v>
      </c>
      <c r="I542">
        <f t="shared" si="116"/>
        <v>41.97</v>
      </c>
      <c r="J542" t="str">
        <f t="shared" si="117"/>
        <v/>
      </c>
      <c r="K542" t="e">
        <f t="shared" si="114"/>
        <v>#N/A</v>
      </c>
      <c r="L542" t="str">
        <f t="shared" si="118"/>
        <v/>
      </c>
      <c r="M542" t="str">
        <f t="shared" si="119"/>
        <v/>
      </c>
      <c r="N542" t="e">
        <f t="shared" si="115"/>
        <v>#N/A</v>
      </c>
      <c r="P542">
        <f t="shared" si="120"/>
        <v>1</v>
      </c>
      <c r="Q542" t="str">
        <f t="shared" ca="1" si="121"/>
        <v/>
      </c>
      <c r="R542" t="str">
        <f t="shared" ca="1" si="122"/>
        <v/>
      </c>
      <c r="T542">
        <f t="shared" si="123"/>
        <v>0</v>
      </c>
      <c r="V542">
        <v>1</v>
      </c>
      <c r="W542" t="str">
        <f t="shared" si="113"/>
        <v/>
      </c>
    </row>
    <row r="543" spans="1:23" outlineLevel="2" x14ac:dyDescent="0.3">
      <c r="A543">
        <v>40.799999999999997</v>
      </c>
      <c r="I543">
        <f t="shared" si="116"/>
        <v>40.799999999999997</v>
      </c>
      <c r="J543" t="str">
        <f t="shared" si="117"/>
        <v/>
      </c>
      <c r="K543" t="e">
        <f t="shared" si="114"/>
        <v>#N/A</v>
      </c>
      <c r="L543" t="str">
        <f t="shared" si="118"/>
        <v/>
      </c>
      <c r="M543" t="str">
        <f t="shared" si="119"/>
        <v/>
      </c>
      <c r="N543" t="e">
        <f t="shared" si="115"/>
        <v>#N/A</v>
      </c>
      <c r="P543">
        <f t="shared" si="120"/>
        <v>1</v>
      </c>
      <c r="Q543" t="str">
        <f t="shared" ca="1" si="121"/>
        <v/>
      </c>
      <c r="R543" t="str">
        <f t="shared" ca="1" si="122"/>
        <v/>
      </c>
      <c r="T543">
        <f t="shared" si="123"/>
        <v>0</v>
      </c>
      <c r="V543">
        <v>1</v>
      </c>
      <c r="W543" t="str">
        <f t="shared" si="113"/>
        <v/>
      </c>
    </row>
    <row r="544" spans="1:23" outlineLevel="2" x14ac:dyDescent="0.3">
      <c r="A544">
        <v>38.130000000000003</v>
      </c>
      <c r="I544">
        <f t="shared" si="116"/>
        <v>38.130000000000003</v>
      </c>
      <c r="J544" t="str">
        <f t="shared" si="117"/>
        <v/>
      </c>
      <c r="K544" t="e">
        <f t="shared" si="114"/>
        <v>#N/A</v>
      </c>
      <c r="L544" t="str">
        <f t="shared" si="118"/>
        <v/>
      </c>
      <c r="M544" t="str">
        <f t="shared" si="119"/>
        <v/>
      </c>
      <c r="N544" t="e">
        <f t="shared" si="115"/>
        <v>#N/A</v>
      </c>
      <c r="P544">
        <f t="shared" si="120"/>
        <v>1</v>
      </c>
      <c r="Q544" t="str">
        <f t="shared" ca="1" si="121"/>
        <v/>
      </c>
      <c r="R544" t="str">
        <f t="shared" ca="1" si="122"/>
        <v/>
      </c>
      <c r="T544">
        <f t="shared" si="123"/>
        <v>0</v>
      </c>
      <c r="V544">
        <v>1</v>
      </c>
      <c r="W544" t="str">
        <f t="shared" si="113"/>
        <v/>
      </c>
    </row>
    <row r="545" spans="1:23" outlineLevel="2" x14ac:dyDescent="0.3">
      <c r="A545">
        <v>35.32</v>
      </c>
      <c r="I545">
        <f t="shared" si="116"/>
        <v>35.32</v>
      </c>
      <c r="J545" t="str">
        <f t="shared" si="117"/>
        <v/>
      </c>
      <c r="K545" t="e">
        <f t="shared" si="114"/>
        <v>#N/A</v>
      </c>
      <c r="L545" t="str">
        <f t="shared" si="118"/>
        <v/>
      </c>
      <c r="M545" t="str">
        <f t="shared" si="119"/>
        <v/>
      </c>
      <c r="N545" t="e">
        <f t="shared" si="115"/>
        <v>#N/A</v>
      </c>
      <c r="P545">
        <f t="shared" si="120"/>
        <v>1</v>
      </c>
      <c r="Q545" t="str">
        <f t="shared" ca="1" si="121"/>
        <v/>
      </c>
      <c r="R545" t="str">
        <f t="shared" ca="1" si="122"/>
        <v/>
      </c>
      <c r="T545">
        <f t="shared" si="123"/>
        <v>0</v>
      </c>
      <c r="V545">
        <v>1</v>
      </c>
      <c r="W545" t="str">
        <f t="shared" si="113"/>
        <v/>
      </c>
    </row>
    <row r="546" spans="1:23" outlineLevel="2" x14ac:dyDescent="0.3">
      <c r="A546">
        <v>35.68</v>
      </c>
      <c r="I546">
        <f t="shared" si="116"/>
        <v>35.68</v>
      </c>
      <c r="J546" t="str">
        <f t="shared" si="117"/>
        <v/>
      </c>
      <c r="K546" t="e">
        <f t="shared" si="114"/>
        <v>#N/A</v>
      </c>
      <c r="L546" t="str">
        <f t="shared" si="118"/>
        <v/>
      </c>
      <c r="M546" t="str">
        <f t="shared" si="119"/>
        <v/>
      </c>
      <c r="N546" t="e">
        <f t="shared" si="115"/>
        <v>#N/A</v>
      </c>
      <c r="P546">
        <f t="shared" si="120"/>
        <v>1</v>
      </c>
      <c r="Q546" t="str">
        <f t="shared" ca="1" si="121"/>
        <v/>
      </c>
      <c r="R546" t="str">
        <f t="shared" ca="1" si="122"/>
        <v/>
      </c>
      <c r="T546">
        <f t="shared" si="123"/>
        <v>0</v>
      </c>
      <c r="V546">
        <v>1</v>
      </c>
      <c r="W546" t="str">
        <f t="shared" si="113"/>
        <v/>
      </c>
    </row>
    <row r="547" spans="1:23" outlineLevel="2" x14ac:dyDescent="0.3">
      <c r="A547">
        <v>37.32</v>
      </c>
      <c r="I547">
        <f t="shared" si="116"/>
        <v>37.32</v>
      </c>
      <c r="J547" t="str">
        <f t="shared" si="117"/>
        <v/>
      </c>
      <c r="K547" t="e">
        <f t="shared" si="114"/>
        <v>#N/A</v>
      </c>
      <c r="L547" t="str">
        <f t="shared" si="118"/>
        <v/>
      </c>
      <c r="M547" t="str">
        <f t="shared" si="119"/>
        <v/>
      </c>
      <c r="N547" t="e">
        <f t="shared" si="115"/>
        <v>#N/A</v>
      </c>
      <c r="P547">
        <f t="shared" si="120"/>
        <v>1</v>
      </c>
      <c r="Q547" t="str">
        <f t="shared" ca="1" si="121"/>
        <v/>
      </c>
      <c r="R547" t="str">
        <f t="shared" ca="1" si="122"/>
        <v/>
      </c>
      <c r="T547">
        <f t="shared" si="123"/>
        <v>0</v>
      </c>
      <c r="V547">
        <v>1</v>
      </c>
      <c r="W547" t="str">
        <f t="shared" si="113"/>
        <v/>
      </c>
    </row>
    <row r="548" spans="1:23" outlineLevel="2" x14ac:dyDescent="0.3">
      <c r="A548">
        <v>35.619999999999997</v>
      </c>
      <c r="I548">
        <f t="shared" si="116"/>
        <v>35.619999999999997</v>
      </c>
      <c r="J548" t="str">
        <f t="shared" si="117"/>
        <v/>
      </c>
      <c r="K548" t="e">
        <f t="shared" si="114"/>
        <v>#N/A</v>
      </c>
      <c r="L548" t="str">
        <f t="shared" si="118"/>
        <v/>
      </c>
      <c r="M548" t="str">
        <f t="shared" si="119"/>
        <v/>
      </c>
      <c r="N548" t="e">
        <f t="shared" si="115"/>
        <v>#N/A</v>
      </c>
      <c r="P548">
        <f t="shared" si="120"/>
        <v>1</v>
      </c>
      <c r="Q548" t="str">
        <f t="shared" ca="1" si="121"/>
        <v/>
      </c>
      <c r="R548" t="str">
        <f t="shared" ca="1" si="122"/>
        <v/>
      </c>
      <c r="T548">
        <f t="shared" si="123"/>
        <v>0</v>
      </c>
      <c r="V548">
        <v>1</v>
      </c>
      <c r="W548" t="str">
        <f t="shared" si="113"/>
        <v/>
      </c>
    </row>
    <row r="549" spans="1:23" outlineLevel="2" x14ac:dyDescent="0.3">
      <c r="A549">
        <v>30.91</v>
      </c>
      <c r="I549">
        <f t="shared" si="116"/>
        <v>30.91</v>
      </c>
      <c r="J549" t="str">
        <f t="shared" si="117"/>
        <v/>
      </c>
      <c r="K549" t="e">
        <f t="shared" si="114"/>
        <v>#N/A</v>
      </c>
      <c r="L549" t="str">
        <f t="shared" si="118"/>
        <v/>
      </c>
      <c r="M549" t="str">
        <f t="shared" si="119"/>
        <v/>
      </c>
      <c r="N549" t="e">
        <f t="shared" si="115"/>
        <v>#N/A</v>
      </c>
      <c r="P549">
        <f t="shared" si="120"/>
        <v>1</v>
      </c>
      <c r="Q549" t="str">
        <f t="shared" ca="1" si="121"/>
        <v/>
      </c>
      <c r="R549" t="str">
        <f t="shared" ca="1" si="122"/>
        <v/>
      </c>
      <c r="T549">
        <f t="shared" si="123"/>
        <v>0</v>
      </c>
      <c r="V549">
        <v>1</v>
      </c>
      <c r="W549" t="str">
        <f t="shared" si="113"/>
        <v/>
      </c>
    </row>
    <row r="550" spans="1:23" outlineLevel="2" x14ac:dyDescent="0.3">
      <c r="A550">
        <v>28.08</v>
      </c>
      <c r="I550">
        <f t="shared" si="116"/>
        <v>28.08</v>
      </c>
      <c r="J550" t="str">
        <f t="shared" si="117"/>
        <v/>
      </c>
      <c r="K550" t="e">
        <f t="shared" si="114"/>
        <v>#N/A</v>
      </c>
      <c r="L550" t="str">
        <f t="shared" si="118"/>
        <v/>
      </c>
      <c r="M550" t="str">
        <f t="shared" si="119"/>
        <v/>
      </c>
      <c r="N550" t="e">
        <f t="shared" si="115"/>
        <v>#N/A</v>
      </c>
      <c r="P550">
        <f t="shared" si="120"/>
        <v>1</v>
      </c>
      <c r="Q550" t="str">
        <f t="shared" ca="1" si="121"/>
        <v/>
      </c>
      <c r="R550" t="str">
        <f t="shared" ca="1" si="122"/>
        <v/>
      </c>
      <c r="T550">
        <f t="shared" si="123"/>
        <v>0</v>
      </c>
      <c r="V550">
        <v>1</v>
      </c>
      <c r="W550" t="str">
        <f t="shared" si="113"/>
        <v/>
      </c>
    </row>
    <row r="551" spans="1:23" outlineLevel="2" x14ac:dyDescent="0.3">
      <c r="A551">
        <v>28.31</v>
      </c>
      <c r="I551">
        <f t="shared" si="116"/>
        <v>28.31</v>
      </c>
      <c r="J551" t="str">
        <f t="shared" si="117"/>
        <v/>
      </c>
      <c r="K551" t="e">
        <f t="shared" si="114"/>
        <v>#N/A</v>
      </c>
      <c r="L551" t="str">
        <f t="shared" si="118"/>
        <v/>
      </c>
      <c r="M551" t="str">
        <f t="shared" si="119"/>
        <v/>
      </c>
      <c r="N551" t="e">
        <f t="shared" si="115"/>
        <v>#N/A</v>
      </c>
      <c r="P551">
        <f t="shared" si="120"/>
        <v>1</v>
      </c>
      <c r="Q551" t="str">
        <f t="shared" ca="1" si="121"/>
        <v/>
      </c>
      <c r="R551" t="str">
        <f t="shared" ca="1" si="122"/>
        <v/>
      </c>
      <c r="T551">
        <f t="shared" si="123"/>
        <v>0</v>
      </c>
      <c r="V551">
        <v>1</v>
      </c>
      <c r="W551" t="str">
        <f t="shared" si="113"/>
        <v/>
      </c>
    </row>
    <row r="552" spans="1:23" outlineLevel="2" x14ac:dyDescent="0.3">
      <c r="A552">
        <v>28.14</v>
      </c>
      <c r="I552">
        <f t="shared" si="116"/>
        <v>28.14</v>
      </c>
      <c r="J552" t="str">
        <f t="shared" si="117"/>
        <v/>
      </c>
      <c r="K552" t="e">
        <f t="shared" si="114"/>
        <v>#N/A</v>
      </c>
      <c r="L552" t="str">
        <f t="shared" si="118"/>
        <v/>
      </c>
      <c r="M552" t="str">
        <f t="shared" si="119"/>
        <v/>
      </c>
      <c r="N552" t="e">
        <f t="shared" si="115"/>
        <v>#N/A</v>
      </c>
      <c r="P552">
        <f t="shared" si="120"/>
        <v>1</v>
      </c>
      <c r="Q552" t="str">
        <f t="shared" ca="1" si="121"/>
        <v/>
      </c>
      <c r="R552" t="str">
        <f t="shared" ca="1" si="122"/>
        <v/>
      </c>
      <c r="T552">
        <f t="shared" si="123"/>
        <v>0</v>
      </c>
      <c r="V552">
        <v>1</v>
      </c>
      <c r="W552" t="str">
        <f t="shared" si="113"/>
        <v/>
      </c>
    </row>
    <row r="553" spans="1:23" outlineLevel="2" x14ac:dyDescent="0.3">
      <c r="A553">
        <v>25.87</v>
      </c>
      <c r="I553">
        <f t="shared" si="116"/>
        <v>25.87</v>
      </c>
      <c r="J553" t="str">
        <f t="shared" si="117"/>
        <v/>
      </c>
      <c r="K553" t="e">
        <f t="shared" si="114"/>
        <v>#N/A</v>
      </c>
      <c r="L553" t="str">
        <f t="shared" si="118"/>
        <v/>
      </c>
      <c r="M553" t="str">
        <f t="shared" si="119"/>
        <v/>
      </c>
      <c r="N553" t="e">
        <f t="shared" si="115"/>
        <v>#N/A</v>
      </c>
      <c r="P553">
        <f t="shared" si="120"/>
        <v>1</v>
      </c>
      <c r="Q553" t="str">
        <f t="shared" ca="1" si="121"/>
        <v/>
      </c>
      <c r="R553" t="str">
        <f t="shared" ca="1" si="122"/>
        <v/>
      </c>
      <c r="T553">
        <f t="shared" si="123"/>
        <v>0</v>
      </c>
      <c r="V553">
        <v>1</v>
      </c>
      <c r="W553" t="str">
        <f t="shared" si="113"/>
        <v/>
      </c>
    </row>
    <row r="554" spans="1:23" outlineLevel="2" x14ac:dyDescent="0.3">
      <c r="A554">
        <v>24.78</v>
      </c>
      <c r="I554">
        <f t="shared" si="116"/>
        <v>24.78</v>
      </c>
      <c r="J554" t="str">
        <f t="shared" si="117"/>
        <v/>
      </c>
      <c r="K554" t="e">
        <f t="shared" si="114"/>
        <v>#N/A</v>
      </c>
      <c r="L554" t="str">
        <f t="shared" si="118"/>
        <v/>
      </c>
      <c r="M554" t="str">
        <f t="shared" si="119"/>
        <v/>
      </c>
      <c r="N554" t="e">
        <f t="shared" si="115"/>
        <v>#N/A</v>
      </c>
      <c r="P554">
        <f t="shared" si="120"/>
        <v>1</v>
      </c>
      <c r="Q554" t="str">
        <f t="shared" ca="1" si="121"/>
        <v/>
      </c>
      <c r="R554" t="str">
        <f t="shared" ca="1" si="122"/>
        <v/>
      </c>
      <c r="T554">
        <f t="shared" si="123"/>
        <v>0</v>
      </c>
      <c r="V554">
        <v>1</v>
      </c>
      <c r="W554" t="str">
        <f t="shared" si="113"/>
        <v/>
      </c>
    </row>
    <row r="555" spans="1:23" outlineLevel="2" x14ac:dyDescent="0.3">
      <c r="A555">
        <v>26.42</v>
      </c>
      <c r="I555">
        <f t="shared" si="116"/>
        <v>26.42</v>
      </c>
      <c r="J555" t="str">
        <f t="shared" si="117"/>
        <v/>
      </c>
      <c r="K555" t="e">
        <f t="shared" si="114"/>
        <v>#N/A</v>
      </c>
      <c r="L555" t="str">
        <f t="shared" si="118"/>
        <v/>
      </c>
      <c r="M555" t="str">
        <f t="shared" si="119"/>
        <v/>
      </c>
      <c r="N555" t="e">
        <f t="shared" si="115"/>
        <v>#N/A</v>
      </c>
      <c r="P555">
        <f t="shared" si="120"/>
        <v>1</v>
      </c>
      <c r="Q555" t="str">
        <f t="shared" ca="1" si="121"/>
        <v/>
      </c>
      <c r="R555" t="str">
        <f t="shared" ca="1" si="122"/>
        <v/>
      </c>
      <c r="T555">
        <f t="shared" si="123"/>
        <v>0</v>
      </c>
      <c r="V555">
        <v>1</v>
      </c>
      <c r="W555" t="str">
        <f t="shared" si="113"/>
        <v/>
      </c>
    </row>
    <row r="556" spans="1:23" outlineLevel="2" x14ac:dyDescent="0.3">
      <c r="A556">
        <v>27.44</v>
      </c>
      <c r="I556">
        <f t="shared" si="116"/>
        <v>27.44</v>
      </c>
      <c r="J556" t="str">
        <f t="shared" si="117"/>
        <v/>
      </c>
      <c r="K556" t="e">
        <f t="shared" si="114"/>
        <v>#N/A</v>
      </c>
      <c r="L556" t="str">
        <f t="shared" si="118"/>
        <v/>
      </c>
      <c r="M556" t="str">
        <f t="shared" si="119"/>
        <v/>
      </c>
      <c r="N556" t="e">
        <f t="shared" si="115"/>
        <v>#N/A</v>
      </c>
      <c r="P556">
        <f t="shared" si="120"/>
        <v>1</v>
      </c>
      <c r="Q556" t="str">
        <f t="shared" ca="1" si="121"/>
        <v/>
      </c>
      <c r="R556" t="str">
        <f t="shared" ca="1" si="122"/>
        <v/>
      </c>
      <c r="T556">
        <f t="shared" si="123"/>
        <v>0</v>
      </c>
      <c r="V556">
        <v>1</v>
      </c>
      <c r="W556" t="str">
        <f t="shared" si="113"/>
        <v/>
      </c>
    </row>
    <row r="557" spans="1:23" outlineLevel="2" x14ac:dyDescent="0.3">
      <c r="A557">
        <v>25.6</v>
      </c>
      <c r="I557">
        <f t="shared" si="116"/>
        <v>25.6</v>
      </c>
      <c r="J557" t="str">
        <f t="shared" si="117"/>
        <v/>
      </c>
      <c r="K557" t="e">
        <f t="shared" si="114"/>
        <v>#N/A</v>
      </c>
      <c r="L557" t="str">
        <f t="shared" si="118"/>
        <v/>
      </c>
      <c r="M557" t="str">
        <f t="shared" si="119"/>
        <v/>
      </c>
      <c r="N557" t="e">
        <f t="shared" si="115"/>
        <v>#N/A</v>
      </c>
      <c r="P557">
        <f t="shared" si="120"/>
        <v>1</v>
      </c>
      <c r="Q557" t="str">
        <f t="shared" ca="1" si="121"/>
        <v/>
      </c>
      <c r="R557" t="str">
        <f t="shared" ca="1" si="122"/>
        <v/>
      </c>
      <c r="T557">
        <f t="shared" si="123"/>
        <v>0</v>
      </c>
      <c r="V557">
        <v>1</v>
      </c>
      <c r="W557" t="str">
        <f t="shared" si="113"/>
        <v/>
      </c>
    </row>
    <row r="558" spans="1:23" outlineLevel="2" x14ac:dyDescent="0.3">
      <c r="A558">
        <v>22.08</v>
      </c>
      <c r="I558">
        <f t="shared" si="116"/>
        <v>22.08</v>
      </c>
      <c r="J558" t="str">
        <f t="shared" si="117"/>
        <v/>
      </c>
      <c r="K558" t="e">
        <f t="shared" si="114"/>
        <v>#N/A</v>
      </c>
      <c r="L558" t="str">
        <f t="shared" si="118"/>
        <v/>
      </c>
      <c r="M558" t="str">
        <f t="shared" si="119"/>
        <v/>
      </c>
      <c r="N558" t="e">
        <f t="shared" si="115"/>
        <v>#N/A</v>
      </c>
      <c r="P558">
        <f t="shared" si="120"/>
        <v>1</v>
      </c>
      <c r="Q558" t="str">
        <f t="shared" ca="1" si="121"/>
        <v/>
      </c>
      <c r="R558" t="str">
        <f t="shared" ca="1" si="122"/>
        <v/>
      </c>
      <c r="T558">
        <f t="shared" si="123"/>
        <v>0</v>
      </c>
      <c r="V558">
        <v>1</v>
      </c>
      <c r="W558" t="str">
        <f t="shared" si="113"/>
        <v/>
      </c>
    </row>
    <row r="559" spans="1:23" outlineLevel="2" x14ac:dyDescent="0.3">
      <c r="A559">
        <v>19.420000000000002</v>
      </c>
      <c r="I559">
        <f t="shared" si="116"/>
        <v>19.420000000000002</v>
      </c>
      <c r="J559" t="str">
        <f t="shared" si="117"/>
        <v/>
      </c>
      <c r="K559" t="e">
        <f t="shared" si="114"/>
        <v>#N/A</v>
      </c>
      <c r="L559" t="str">
        <f t="shared" si="118"/>
        <v/>
      </c>
      <c r="M559" t="str">
        <f t="shared" si="119"/>
        <v/>
      </c>
      <c r="N559" t="e">
        <f t="shared" si="115"/>
        <v>#N/A</v>
      </c>
      <c r="P559">
        <f t="shared" si="120"/>
        <v>1</v>
      </c>
      <c r="Q559" t="str">
        <f t="shared" ca="1" si="121"/>
        <v/>
      </c>
      <c r="R559" t="str">
        <f t="shared" ca="1" si="122"/>
        <v/>
      </c>
      <c r="T559">
        <f t="shared" si="123"/>
        <v>0</v>
      </c>
      <c r="V559">
        <v>1</v>
      </c>
      <c r="W559" t="str">
        <f t="shared" si="113"/>
        <v/>
      </c>
    </row>
    <row r="560" spans="1:23" outlineLevel="2" x14ac:dyDescent="0.3">
      <c r="A560">
        <v>18.68</v>
      </c>
      <c r="I560">
        <f t="shared" si="116"/>
        <v>18.68</v>
      </c>
      <c r="J560" t="str">
        <f t="shared" si="117"/>
        <v/>
      </c>
      <c r="K560" t="e">
        <f t="shared" si="114"/>
        <v>#N/A</v>
      </c>
      <c r="L560" t="str">
        <f t="shared" si="118"/>
        <v/>
      </c>
      <c r="M560" t="str">
        <f t="shared" si="119"/>
        <v/>
      </c>
      <c r="N560" t="e">
        <f t="shared" si="115"/>
        <v>#N/A</v>
      </c>
      <c r="P560">
        <f t="shared" si="120"/>
        <v>1</v>
      </c>
      <c r="Q560" t="str">
        <f t="shared" ca="1" si="121"/>
        <v/>
      </c>
      <c r="R560" t="str">
        <f t="shared" ca="1" si="122"/>
        <v/>
      </c>
      <c r="T560">
        <f t="shared" si="123"/>
        <v>0</v>
      </c>
      <c r="V560">
        <v>1</v>
      </c>
      <c r="W560" t="str">
        <f t="shared" si="113"/>
        <v/>
      </c>
    </row>
    <row r="561" spans="1:23" outlineLevel="2" x14ac:dyDescent="0.3">
      <c r="A561">
        <v>18.61</v>
      </c>
      <c r="I561">
        <f t="shared" si="116"/>
        <v>18.61</v>
      </c>
      <c r="J561" t="str">
        <f t="shared" si="117"/>
        <v/>
      </c>
      <c r="K561" t="e">
        <f t="shared" si="114"/>
        <v>#N/A</v>
      </c>
      <c r="L561" t="str">
        <f t="shared" si="118"/>
        <v/>
      </c>
      <c r="M561" t="str">
        <f t="shared" si="119"/>
        <v/>
      </c>
      <c r="N561" t="e">
        <f t="shared" si="115"/>
        <v>#N/A</v>
      </c>
      <c r="P561">
        <f t="shared" si="120"/>
        <v>1</v>
      </c>
      <c r="Q561" t="str">
        <f t="shared" ca="1" si="121"/>
        <v/>
      </c>
      <c r="R561" t="str">
        <f t="shared" ca="1" si="122"/>
        <v/>
      </c>
      <c r="T561">
        <f t="shared" si="123"/>
        <v>0</v>
      </c>
      <c r="V561">
        <v>1</v>
      </c>
      <c r="W561" t="str">
        <f t="shared" si="113"/>
        <v/>
      </c>
    </row>
    <row r="562" spans="1:23" outlineLevel="2" x14ac:dyDescent="0.3">
      <c r="A562">
        <v>16.829999999999998</v>
      </c>
      <c r="I562">
        <f t="shared" si="116"/>
        <v>16.829999999999998</v>
      </c>
      <c r="J562" t="str">
        <f>IF(AND(I563&gt;I562,I563&gt;I565,I563&gt;$D$5),I563,"")</f>
        <v/>
      </c>
      <c r="K562" t="e">
        <f t="shared" si="114"/>
        <v>#N/A</v>
      </c>
      <c r="L562" t="str">
        <f t="shared" si="118"/>
        <v/>
      </c>
      <c r="M562" t="str">
        <f>IF(AND(L563&lt;L562,L563&lt;L565,L563&lt;$G$5),L563,"")</f>
        <v/>
      </c>
      <c r="N562" t="e">
        <f t="shared" si="115"/>
        <v>#N/A</v>
      </c>
      <c r="P562">
        <f t="shared" si="120"/>
        <v>1</v>
      </c>
      <c r="Q562" t="str">
        <f t="shared" ca="1" si="121"/>
        <v/>
      </c>
      <c r="R562" t="str">
        <f t="shared" ca="1" si="122"/>
        <v/>
      </c>
      <c r="T562">
        <f t="shared" si="123"/>
        <v>0</v>
      </c>
      <c r="V562">
        <v>1</v>
      </c>
      <c r="W562" t="str">
        <f t="shared" si="113"/>
        <v/>
      </c>
    </row>
    <row r="563" spans="1:23" outlineLevel="2" x14ac:dyDescent="0.3">
      <c r="A563">
        <v>13.13</v>
      </c>
      <c r="I563">
        <f t="shared" si="116"/>
        <v>13.13</v>
      </c>
      <c r="J563" t="str">
        <f>IF(AND(I565&gt;I563,I565&gt;I566,I565&gt;$D$5),I565,"")</f>
        <v/>
      </c>
      <c r="K563" t="e">
        <f t="shared" si="114"/>
        <v>#N/A</v>
      </c>
      <c r="L563" t="str">
        <f t="shared" si="118"/>
        <v/>
      </c>
      <c r="M563" t="str">
        <f>IF(AND(L565&lt;L563,L565&lt;L566,L565&lt;$G$5),L565,"")</f>
        <v/>
      </c>
      <c r="N563" t="e">
        <f t="shared" si="115"/>
        <v>#N/A</v>
      </c>
      <c r="P563">
        <f t="shared" si="120"/>
        <v>1</v>
      </c>
      <c r="Q563">
        <f ca="1">IF(AND(A565&gt;=0,A563&lt;0),CELL("ROW",A565),IF(AND(A565&lt;0,A563&gt;=0),CELL("ROW",A565),""))</f>
        <v>565</v>
      </c>
      <c r="R563" t="str">
        <f t="shared" ca="1" si="122"/>
        <v>565</v>
      </c>
      <c r="T563">
        <f>S565-S563</f>
        <v>0</v>
      </c>
      <c r="V563">
        <v>1</v>
      </c>
      <c r="W563" t="str">
        <f t="shared" si="113"/>
        <v/>
      </c>
    </row>
    <row r="564" spans="1:23" outlineLevel="1" x14ac:dyDescent="0.3">
      <c r="O564" s="1" t="s">
        <v>26</v>
      </c>
      <c r="P564">
        <f>SUBTOTAL(3,P529:P563)</f>
        <v>35</v>
      </c>
      <c r="V564">
        <v>35</v>
      </c>
      <c r="W564" t="str">
        <f t="shared" si="113"/>
        <v/>
      </c>
    </row>
    <row r="565" spans="1:23" outlineLevel="2" x14ac:dyDescent="0.3">
      <c r="A565">
        <v>-13.27</v>
      </c>
      <c r="I565" t="str">
        <f t="shared" si="116"/>
        <v/>
      </c>
      <c r="J565" t="str">
        <f t="shared" si="117"/>
        <v/>
      </c>
      <c r="K565" t="e">
        <f t="shared" ref="K565:K593" si="124">MATCH(J565,$A$1:$A$10041,0)</f>
        <v>#N/A</v>
      </c>
      <c r="L565">
        <f t="shared" si="118"/>
        <v>-13.27</v>
      </c>
      <c r="M565" t="str">
        <f t="shared" si="119"/>
        <v/>
      </c>
      <c r="N565" t="e">
        <f t="shared" ref="N565:N593" si="125">MATCH(M565,$A$1:$A$10041,0)</f>
        <v>#N/A</v>
      </c>
      <c r="P565">
        <f t="shared" si="120"/>
        <v>2</v>
      </c>
      <c r="Q565" t="str">
        <f t="shared" ca="1" si="121"/>
        <v/>
      </c>
      <c r="R565" t="str">
        <f t="shared" ca="1" si="122"/>
        <v/>
      </c>
      <c r="T565">
        <f t="shared" si="123"/>
        <v>0</v>
      </c>
      <c r="V565">
        <v>2</v>
      </c>
      <c r="W565" t="str">
        <f t="shared" si="113"/>
        <v/>
      </c>
    </row>
    <row r="566" spans="1:23" outlineLevel="2" x14ac:dyDescent="0.3">
      <c r="A566">
        <v>-14.47</v>
      </c>
      <c r="I566" t="str">
        <f t="shared" si="116"/>
        <v/>
      </c>
      <c r="J566" t="str">
        <f t="shared" si="117"/>
        <v/>
      </c>
      <c r="K566" t="e">
        <f t="shared" si="124"/>
        <v>#N/A</v>
      </c>
      <c r="L566">
        <f t="shared" si="118"/>
        <v>-14.47</v>
      </c>
      <c r="M566" t="str">
        <f t="shared" si="119"/>
        <v/>
      </c>
      <c r="N566" t="e">
        <f t="shared" si="125"/>
        <v>#N/A</v>
      </c>
      <c r="P566">
        <f t="shared" si="120"/>
        <v>2</v>
      </c>
      <c r="Q566" t="str">
        <f t="shared" ca="1" si="121"/>
        <v/>
      </c>
      <c r="R566" t="str">
        <f t="shared" ca="1" si="122"/>
        <v/>
      </c>
      <c r="T566">
        <f t="shared" si="123"/>
        <v>0</v>
      </c>
      <c r="V566">
        <v>2</v>
      </c>
      <c r="W566" t="str">
        <f t="shared" si="113"/>
        <v/>
      </c>
    </row>
    <row r="567" spans="1:23" outlineLevel="2" x14ac:dyDescent="0.3">
      <c r="A567">
        <v>-14.91</v>
      </c>
      <c r="I567" t="str">
        <f t="shared" si="116"/>
        <v/>
      </c>
      <c r="J567" t="str">
        <f t="shared" si="117"/>
        <v/>
      </c>
      <c r="K567" t="e">
        <f t="shared" si="124"/>
        <v>#N/A</v>
      </c>
      <c r="L567">
        <f t="shared" si="118"/>
        <v>-14.91</v>
      </c>
      <c r="M567" t="str">
        <f t="shared" si="119"/>
        <v/>
      </c>
      <c r="N567" t="e">
        <f t="shared" si="125"/>
        <v>#N/A</v>
      </c>
      <c r="P567">
        <f t="shared" si="120"/>
        <v>2</v>
      </c>
      <c r="Q567" t="str">
        <f t="shared" ca="1" si="121"/>
        <v/>
      </c>
      <c r="R567" t="str">
        <f t="shared" ca="1" si="122"/>
        <v/>
      </c>
      <c r="T567">
        <f t="shared" si="123"/>
        <v>0</v>
      </c>
      <c r="V567">
        <v>2</v>
      </c>
      <c r="W567" t="str">
        <f t="shared" si="113"/>
        <v/>
      </c>
    </row>
    <row r="568" spans="1:23" outlineLevel="2" x14ac:dyDescent="0.3">
      <c r="A568">
        <v>-13.66</v>
      </c>
      <c r="I568" t="str">
        <f t="shared" si="116"/>
        <v/>
      </c>
      <c r="J568" t="str">
        <f t="shared" si="117"/>
        <v/>
      </c>
      <c r="K568" t="e">
        <f t="shared" si="124"/>
        <v>#N/A</v>
      </c>
      <c r="L568">
        <f t="shared" si="118"/>
        <v>-13.66</v>
      </c>
      <c r="M568" t="str">
        <f t="shared" si="119"/>
        <v/>
      </c>
      <c r="N568" t="e">
        <f t="shared" si="125"/>
        <v>#N/A</v>
      </c>
      <c r="P568">
        <f t="shared" si="120"/>
        <v>2</v>
      </c>
      <c r="Q568" t="str">
        <f t="shared" ca="1" si="121"/>
        <v/>
      </c>
      <c r="R568" t="str">
        <f t="shared" ca="1" si="122"/>
        <v/>
      </c>
      <c r="T568">
        <f t="shared" si="123"/>
        <v>0</v>
      </c>
      <c r="V568">
        <v>2</v>
      </c>
      <c r="W568" t="str">
        <f t="shared" si="113"/>
        <v/>
      </c>
    </row>
    <row r="569" spans="1:23" outlineLevel="2" x14ac:dyDescent="0.3">
      <c r="A569">
        <v>-12.98</v>
      </c>
      <c r="I569" t="str">
        <f t="shared" si="116"/>
        <v/>
      </c>
      <c r="J569" t="str">
        <f t="shared" si="117"/>
        <v/>
      </c>
      <c r="K569" t="e">
        <f t="shared" si="124"/>
        <v>#N/A</v>
      </c>
      <c r="L569">
        <f t="shared" si="118"/>
        <v>-12.98</v>
      </c>
      <c r="M569" t="str">
        <f t="shared" si="119"/>
        <v/>
      </c>
      <c r="N569" t="e">
        <f t="shared" si="125"/>
        <v>#N/A</v>
      </c>
      <c r="P569">
        <f t="shared" si="120"/>
        <v>2</v>
      </c>
      <c r="Q569" t="str">
        <f t="shared" ca="1" si="121"/>
        <v/>
      </c>
      <c r="R569" t="str">
        <f t="shared" ca="1" si="122"/>
        <v/>
      </c>
      <c r="T569">
        <f t="shared" si="123"/>
        <v>0</v>
      </c>
      <c r="V569">
        <v>2</v>
      </c>
      <c r="W569" t="str">
        <f t="shared" si="113"/>
        <v/>
      </c>
    </row>
    <row r="570" spans="1:23" outlineLevel="2" x14ac:dyDescent="0.3">
      <c r="A570">
        <v>-17.239999999999998</v>
      </c>
      <c r="I570" t="str">
        <f t="shared" si="116"/>
        <v/>
      </c>
      <c r="J570" t="str">
        <f t="shared" si="117"/>
        <v/>
      </c>
      <c r="K570" t="e">
        <f t="shared" si="124"/>
        <v>#N/A</v>
      </c>
      <c r="L570">
        <f t="shared" si="118"/>
        <v>-17.239999999999998</v>
      </c>
      <c r="M570" t="str">
        <f t="shared" si="119"/>
        <v/>
      </c>
      <c r="N570" t="e">
        <f t="shared" si="125"/>
        <v>#N/A</v>
      </c>
      <c r="P570">
        <f t="shared" si="120"/>
        <v>2</v>
      </c>
      <c r="Q570" t="str">
        <f t="shared" ca="1" si="121"/>
        <v/>
      </c>
      <c r="R570" t="str">
        <f t="shared" ca="1" si="122"/>
        <v/>
      </c>
      <c r="T570">
        <f t="shared" si="123"/>
        <v>0</v>
      </c>
      <c r="V570">
        <v>2</v>
      </c>
      <c r="W570" t="str">
        <f t="shared" si="113"/>
        <v/>
      </c>
    </row>
    <row r="571" spans="1:23" outlineLevel="2" x14ac:dyDescent="0.3">
      <c r="A571">
        <v>-20.75</v>
      </c>
      <c r="I571" t="str">
        <f t="shared" si="116"/>
        <v/>
      </c>
      <c r="J571" t="str">
        <f t="shared" si="117"/>
        <v/>
      </c>
      <c r="K571" t="e">
        <f t="shared" si="124"/>
        <v>#N/A</v>
      </c>
      <c r="L571">
        <f t="shared" si="118"/>
        <v>-20.75</v>
      </c>
      <c r="M571" t="str">
        <f t="shared" si="119"/>
        <v/>
      </c>
      <c r="N571" t="e">
        <f t="shared" si="125"/>
        <v>#N/A</v>
      </c>
      <c r="P571">
        <f t="shared" si="120"/>
        <v>2</v>
      </c>
      <c r="Q571" t="str">
        <f t="shared" ca="1" si="121"/>
        <v/>
      </c>
      <c r="R571" t="str">
        <f t="shared" ca="1" si="122"/>
        <v/>
      </c>
      <c r="T571">
        <f t="shared" si="123"/>
        <v>0</v>
      </c>
      <c r="V571">
        <v>2</v>
      </c>
      <c r="W571" t="str">
        <f t="shared" si="113"/>
        <v/>
      </c>
    </row>
    <row r="572" spans="1:23" outlineLevel="2" x14ac:dyDescent="0.3">
      <c r="A572">
        <v>-21.45</v>
      </c>
      <c r="I572" t="str">
        <f t="shared" si="116"/>
        <v/>
      </c>
      <c r="J572" t="str">
        <f t="shared" si="117"/>
        <v/>
      </c>
      <c r="K572" t="e">
        <f t="shared" si="124"/>
        <v>#N/A</v>
      </c>
      <c r="L572">
        <f t="shared" si="118"/>
        <v>-21.45</v>
      </c>
      <c r="M572" t="str">
        <f t="shared" si="119"/>
        <v/>
      </c>
      <c r="N572" t="e">
        <f t="shared" si="125"/>
        <v>#N/A</v>
      </c>
      <c r="P572">
        <f t="shared" si="120"/>
        <v>2</v>
      </c>
      <c r="Q572" t="str">
        <f t="shared" ca="1" si="121"/>
        <v/>
      </c>
      <c r="R572" t="str">
        <f t="shared" ca="1" si="122"/>
        <v/>
      </c>
      <c r="T572">
        <f t="shared" si="123"/>
        <v>0</v>
      </c>
      <c r="V572">
        <v>2</v>
      </c>
      <c r="W572" t="str">
        <f t="shared" si="113"/>
        <v/>
      </c>
    </row>
    <row r="573" spans="1:23" outlineLevel="2" x14ac:dyDescent="0.3">
      <c r="A573">
        <v>-19.600000000000001</v>
      </c>
      <c r="I573" t="str">
        <f t="shared" si="116"/>
        <v/>
      </c>
      <c r="J573" t="str">
        <f t="shared" si="117"/>
        <v/>
      </c>
      <c r="K573" t="e">
        <f t="shared" si="124"/>
        <v>#N/A</v>
      </c>
      <c r="L573">
        <f t="shared" si="118"/>
        <v>-19.600000000000001</v>
      </c>
      <c r="M573" t="str">
        <f t="shared" si="119"/>
        <v/>
      </c>
      <c r="N573" t="e">
        <f t="shared" si="125"/>
        <v>#N/A</v>
      </c>
      <c r="P573">
        <f t="shared" si="120"/>
        <v>2</v>
      </c>
      <c r="Q573" t="str">
        <f t="shared" ca="1" si="121"/>
        <v/>
      </c>
      <c r="R573" t="str">
        <f t="shared" ca="1" si="122"/>
        <v/>
      </c>
      <c r="T573">
        <f t="shared" si="123"/>
        <v>0</v>
      </c>
      <c r="V573">
        <v>2</v>
      </c>
      <c r="W573" t="str">
        <f t="shared" si="113"/>
        <v/>
      </c>
    </row>
    <row r="574" spans="1:23" outlineLevel="2" x14ac:dyDescent="0.3">
      <c r="A574">
        <v>-16.73</v>
      </c>
      <c r="I574" t="str">
        <f t="shared" si="116"/>
        <v/>
      </c>
      <c r="J574" t="str">
        <f t="shared" si="117"/>
        <v/>
      </c>
      <c r="K574" t="e">
        <f t="shared" si="124"/>
        <v>#N/A</v>
      </c>
      <c r="L574">
        <f t="shared" si="118"/>
        <v>-16.73</v>
      </c>
      <c r="M574" t="str">
        <f t="shared" si="119"/>
        <v/>
      </c>
      <c r="N574" t="e">
        <f t="shared" si="125"/>
        <v>#N/A</v>
      </c>
      <c r="P574">
        <f t="shared" si="120"/>
        <v>2</v>
      </c>
      <c r="Q574" t="str">
        <f t="shared" ca="1" si="121"/>
        <v/>
      </c>
      <c r="R574" t="str">
        <f t="shared" ca="1" si="122"/>
        <v/>
      </c>
      <c r="T574">
        <f t="shared" si="123"/>
        <v>0</v>
      </c>
      <c r="V574">
        <v>2</v>
      </c>
      <c r="W574" t="str">
        <f t="shared" si="113"/>
        <v/>
      </c>
    </row>
    <row r="575" spans="1:23" outlineLevel="2" x14ac:dyDescent="0.3">
      <c r="A575">
        <v>-14.83</v>
      </c>
      <c r="I575" t="str">
        <f t="shared" si="116"/>
        <v/>
      </c>
      <c r="J575" t="str">
        <f t="shared" si="117"/>
        <v/>
      </c>
      <c r="K575" t="e">
        <f t="shared" si="124"/>
        <v>#N/A</v>
      </c>
      <c r="L575">
        <f t="shared" si="118"/>
        <v>-14.83</v>
      </c>
      <c r="M575" t="str">
        <f t="shared" si="119"/>
        <v/>
      </c>
      <c r="N575" t="e">
        <f t="shared" si="125"/>
        <v>#N/A</v>
      </c>
      <c r="P575">
        <f t="shared" si="120"/>
        <v>2</v>
      </c>
      <c r="Q575" t="str">
        <f t="shared" ca="1" si="121"/>
        <v/>
      </c>
      <c r="R575" t="str">
        <f t="shared" ca="1" si="122"/>
        <v/>
      </c>
      <c r="T575">
        <f t="shared" si="123"/>
        <v>0</v>
      </c>
      <c r="V575">
        <v>2</v>
      </c>
      <c r="W575" t="str">
        <f t="shared" si="113"/>
        <v/>
      </c>
    </row>
    <row r="576" spans="1:23" outlineLevel="2" x14ac:dyDescent="0.3">
      <c r="A576">
        <v>-14.81</v>
      </c>
      <c r="I576" t="str">
        <f t="shared" si="116"/>
        <v/>
      </c>
      <c r="J576" t="str">
        <f t="shared" si="117"/>
        <v/>
      </c>
      <c r="K576" t="e">
        <f t="shared" si="124"/>
        <v>#N/A</v>
      </c>
      <c r="L576">
        <f t="shared" si="118"/>
        <v>-14.81</v>
      </c>
      <c r="M576" t="str">
        <f t="shared" si="119"/>
        <v/>
      </c>
      <c r="N576" t="e">
        <f t="shared" si="125"/>
        <v>#N/A</v>
      </c>
      <c r="P576">
        <f t="shared" si="120"/>
        <v>2</v>
      </c>
      <c r="Q576" t="str">
        <f t="shared" ca="1" si="121"/>
        <v/>
      </c>
      <c r="R576" t="str">
        <f t="shared" ca="1" si="122"/>
        <v/>
      </c>
      <c r="T576">
        <f t="shared" si="123"/>
        <v>0</v>
      </c>
      <c r="V576">
        <v>2</v>
      </c>
      <c r="W576" t="str">
        <f t="shared" si="113"/>
        <v/>
      </c>
    </row>
    <row r="577" spans="1:23" outlineLevel="2" x14ac:dyDescent="0.3">
      <c r="A577">
        <v>-16.010000000000002</v>
      </c>
      <c r="I577" t="str">
        <f t="shared" si="116"/>
        <v/>
      </c>
      <c r="J577" t="str">
        <f t="shared" si="117"/>
        <v/>
      </c>
      <c r="K577" t="e">
        <f t="shared" si="124"/>
        <v>#N/A</v>
      </c>
      <c r="L577">
        <f t="shared" si="118"/>
        <v>-16.010000000000002</v>
      </c>
      <c r="M577" t="str">
        <f t="shared" si="119"/>
        <v/>
      </c>
      <c r="N577" t="e">
        <f t="shared" si="125"/>
        <v>#N/A</v>
      </c>
      <c r="P577">
        <f t="shared" si="120"/>
        <v>2</v>
      </c>
      <c r="Q577" t="str">
        <f t="shared" ca="1" si="121"/>
        <v/>
      </c>
      <c r="R577" t="str">
        <f t="shared" ca="1" si="122"/>
        <v/>
      </c>
      <c r="T577">
        <f t="shared" si="123"/>
        <v>0</v>
      </c>
      <c r="V577">
        <v>2</v>
      </c>
      <c r="W577" t="str">
        <f t="shared" si="113"/>
        <v/>
      </c>
    </row>
    <row r="578" spans="1:23" outlineLevel="2" x14ac:dyDescent="0.3">
      <c r="A578">
        <v>-16.87</v>
      </c>
      <c r="I578" t="str">
        <f t="shared" si="116"/>
        <v/>
      </c>
      <c r="J578" t="str">
        <f t="shared" si="117"/>
        <v/>
      </c>
      <c r="K578" t="e">
        <f t="shared" si="124"/>
        <v>#N/A</v>
      </c>
      <c r="L578">
        <f t="shared" si="118"/>
        <v>-16.87</v>
      </c>
      <c r="M578" t="str">
        <f t="shared" si="119"/>
        <v/>
      </c>
      <c r="N578" t="e">
        <f t="shared" si="125"/>
        <v>#N/A</v>
      </c>
      <c r="P578">
        <f t="shared" si="120"/>
        <v>2</v>
      </c>
      <c r="Q578" t="str">
        <f t="shared" ca="1" si="121"/>
        <v/>
      </c>
      <c r="R578" t="str">
        <f t="shared" ca="1" si="122"/>
        <v/>
      </c>
      <c r="T578">
        <f t="shared" si="123"/>
        <v>0</v>
      </c>
      <c r="V578">
        <v>2</v>
      </c>
      <c r="W578" t="str">
        <f t="shared" si="113"/>
        <v/>
      </c>
    </row>
    <row r="579" spans="1:23" outlineLevel="2" x14ac:dyDescent="0.3">
      <c r="A579">
        <v>-16.89</v>
      </c>
      <c r="I579" t="str">
        <f t="shared" si="116"/>
        <v/>
      </c>
      <c r="J579" t="str">
        <f t="shared" si="117"/>
        <v/>
      </c>
      <c r="K579" t="e">
        <f t="shared" si="124"/>
        <v>#N/A</v>
      </c>
      <c r="L579">
        <f t="shared" si="118"/>
        <v>-16.89</v>
      </c>
      <c r="M579" t="str">
        <f t="shared" si="119"/>
        <v/>
      </c>
      <c r="N579" t="e">
        <f t="shared" si="125"/>
        <v>#N/A</v>
      </c>
      <c r="P579">
        <f t="shared" si="120"/>
        <v>2</v>
      </c>
      <c r="Q579" t="str">
        <f t="shared" ca="1" si="121"/>
        <v/>
      </c>
      <c r="R579" t="str">
        <f t="shared" ca="1" si="122"/>
        <v/>
      </c>
      <c r="T579">
        <f t="shared" si="123"/>
        <v>0</v>
      </c>
      <c r="V579">
        <v>2</v>
      </c>
      <c r="W579" t="str">
        <f t="shared" ref="W579:W642" si="126">IF(AND(V579&gt;2,V579&lt;20),V579,"")</f>
        <v/>
      </c>
    </row>
    <row r="580" spans="1:23" outlineLevel="2" x14ac:dyDescent="0.3">
      <c r="A580">
        <v>-16.190000000000001</v>
      </c>
      <c r="I580" t="str">
        <f t="shared" si="116"/>
        <v/>
      </c>
      <c r="J580" t="str">
        <f t="shared" si="117"/>
        <v/>
      </c>
      <c r="K580" t="e">
        <f t="shared" si="124"/>
        <v>#N/A</v>
      </c>
      <c r="L580">
        <f t="shared" si="118"/>
        <v>-16.190000000000001</v>
      </c>
      <c r="M580" t="str">
        <f t="shared" si="119"/>
        <v/>
      </c>
      <c r="N580" t="e">
        <f t="shared" si="125"/>
        <v>#N/A</v>
      </c>
      <c r="P580">
        <f t="shared" si="120"/>
        <v>2</v>
      </c>
      <c r="Q580" t="str">
        <f t="shared" ca="1" si="121"/>
        <v/>
      </c>
      <c r="R580" t="str">
        <f t="shared" ca="1" si="122"/>
        <v/>
      </c>
      <c r="T580">
        <f t="shared" si="123"/>
        <v>0</v>
      </c>
      <c r="V580">
        <v>2</v>
      </c>
      <c r="W580" t="str">
        <f t="shared" si="126"/>
        <v/>
      </c>
    </row>
    <row r="581" spans="1:23" outlineLevel="2" x14ac:dyDescent="0.3">
      <c r="A581">
        <v>-14.11</v>
      </c>
      <c r="I581" t="str">
        <f t="shared" si="116"/>
        <v/>
      </c>
      <c r="J581" t="str">
        <f t="shared" si="117"/>
        <v/>
      </c>
      <c r="K581" t="e">
        <f t="shared" si="124"/>
        <v>#N/A</v>
      </c>
      <c r="L581">
        <f t="shared" si="118"/>
        <v>-14.11</v>
      </c>
      <c r="M581" t="str">
        <f t="shared" si="119"/>
        <v/>
      </c>
      <c r="N581" t="e">
        <f t="shared" si="125"/>
        <v>#N/A</v>
      </c>
      <c r="P581">
        <f t="shared" si="120"/>
        <v>2</v>
      </c>
      <c r="Q581" t="str">
        <f t="shared" ca="1" si="121"/>
        <v/>
      </c>
      <c r="R581" t="str">
        <f t="shared" ca="1" si="122"/>
        <v/>
      </c>
      <c r="T581">
        <f t="shared" si="123"/>
        <v>0</v>
      </c>
      <c r="V581">
        <v>2</v>
      </c>
      <c r="W581" t="str">
        <f t="shared" si="126"/>
        <v/>
      </c>
    </row>
    <row r="582" spans="1:23" outlineLevel="2" x14ac:dyDescent="0.3">
      <c r="A582">
        <v>-12.48</v>
      </c>
      <c r="I582" t="str">
        <f t="shared" si="116"/>
        <v/>
      </c>
      <c r="J582" t="str">
        <f t="shared" si="117"/>
        <v/>
      </c>
      <c r="K582" t="e">
        <f t="shared" si="124"/>
        <v>#N/A</v>
      </c>
      <c r="L582">
        <f t="shared" si="118"/>
        <v>-12.48</v>
      </c>
      <c r="M582" t="str">
        <f t="shared" si="119"/>
        <v/>
      </c>
      <c r="N582" t="e">
        <f t="shared" si="125"/>
        <v>#N/A</v>
      </c>
      <c r="P582">
        <f t="shared" si="120"/>
        <v>2</v>
      </c>
      <c r="Q582" t="str">
        <f t="shared" ca="1" si="121"/>
        <v/>
      </c>
      <c r="R582" t="str">
        <f t="shared" ca="1" si="122"/>
        <v/>
      </c>
      <c r="T582">
        <f t="shared" si="123"/>
        <v>0</v>
      </c>
      <c r="V582">
        <v>2</v>
      </c>
      <c r="W582" t="str">
        <f t="shared" si="126"/>
        <v/>
      </c>
    </row>
    <row r="583" spans="1:23" outlineLevel="2" x14ac:dyDescent="0.3">
      <c r="A583">
        <v>-13.65</v>
      </c>
      <c r="I583" t="str">
        <f t="shared" si="116"/>
        <v/>
      </c>
      <c r="J583" t="str">
        <f t="shared" si="117"/>
        <v/>
      </c>
      <c r="K583" t="e">
        <f t="shared" si="124"/>
        <v>#N/A</v>
      </c>
      <c r="L583">
        <f t="shared" si="118"/>
        <v>-13.65</v>
      </c>
      <c r="M583" t="str">
        <f t="shared" si="119"/>
        <v/>
      </c>
      <c r="N583" t="e">
        <f t="shared" si="125"/>
        <v>#N/A</v>
      </c>
      <c r="P583">
        <f t="shared" si="120"/>
        <v>2</v>
      </c>
      <c r="Q583" t="str">
        <f t="shared" ca="1" si="121"/>
        <v/>
      </c>
      <c r="R583" t="str">
        <f t="shared" ca="1" si="122"/>
        <v/>
      </c>
      <c r="T583">
        <f t="shared" si="123"/>
        <v>0</v>
      </c>
      <c r="V583">
        <v>2</v>
      </c>
      <c r="W583" t="str">
        <f t="shared" si="126"/>
        <v/>
      </c>
    </row>
    <row r="584" spans="1:23" outlineLevel="2" x14ac:dyDescent="0.3">
      <c r="A584">
        <v>-15.11</v>
      </c>
      <c r="I584" t="str">
        <f t="shared" si="116"/>
        <v/>
      </c>
      <c r="J584" t="str">
        <f t="shared" si="117"/>
        <v/>
      </c>
      <c r="K584" t="e">
        <f t="shared" si="124"/>
        <v>#N/A</v>
      </c>
      <c r="L584">
        <f t="shared" si="118"/>
        <v>-15.11</v>
      </c>
      <c r="M584" t="str">
        <f t="shared" si="119"/>
        <v/>
      </c>
      <c r="N584" t="e">
        <f t="shared" si="125"/>
        <v>#N/A</v>
      </c>
      <c r="P584">
        <f t="shared" si="120"/>
        <v>2</v>
      </c>
      <c r="Q584" t="str">
        <f t="shared" ca="1" si="121"/>
        <v/>
      </c>
      <c r="R584" t="str">
        <f t="shared" ca="1" si="122"/>
        <v/>
      </c>
      <c r="T584">
        <f t="shared" si="123"/>
        <v>0</v>
      </c>
      <c r="V584">
        <v>2</v>
      </c>
      <c r="W584" t="str">
        <f t="shared" si="126"/>
        <v/>
      </c>
    </row>
    <row r="585" spans="1:23" outlineLevel="2" x14ac:dyDescent="0.3">
      <c r="A585">
        <v>-14.94</v>
      </c>
      <c r="I585" t="str">
        <f t="shared" si="116"/>
        <v/>
      </c>
      <c r="J585" t="str">
        <f t="shared" si="117"/>
        <v/>
      </c>
      <c r="K585" t="e">
        <f t="shared" si="124"/>
        <v>#N/A</v>
      </c>
      <c r="L585">
        <f t="shared" si="118"/>
        <v>-14.94</v>
      </c>
      <c r="M585" t="str">
        <f t="shared" si="119"/>
        <v/>
      </c>
      <c r="N585" t="e">
        <f t="shared" si="125"/>
        <v>#N/A</v>
      </c>
      <c r="P585">
        <f t="shared" si="120"/>
        <v>2</v>
      </c>
      <c r="Q585" t="str">
        <f t="shared" ca="1" si="121"/>
        <v/>
      </c>
      <c r="R585" t="str">
        <f t="shared" ca="1" si="122"/>
        <v/>
      </c>
      <c r="T585">
        <f t="shared" si="123"/>
        <v>0</v>
      </c>
      <c r="V585">
        <v>2</v>
      </c>
      <c r="W585" t="str">
        <f t="shared" si="126"/>
        <v/>
      </c>
    </row>
    <row r="586" spans="1:23" outlineLevel="2" x14ac:dyDescent="0.3">
      <c r="A586">
        <v>-14.4</v>
      </c>
      <c r="I586" t="str">
        <f t="shared" si="116"/>
        <v/>
      </c>
      <c r="J586" t="str">
        <f t="shared" si="117"/>
        <v/>
      </c>
      <c r="K586" t="e">
        <f t="shared" si="124"/>
        <v>#N/A</v>
      </c>
      <c r="L586">
        <f t="shared" si="118"/>
        <v>-14.4</v>
      </c>
      <c r="M586" t="str">
        <f t="shared" si="119"/>
        <v/>
      </c>
      <c r="N586" t="e">
        <f t="shared" si="125"/>
        <v>#N/A</v>
      </c>
      <c r="P586">
        <f t="shared" si="120"/>
        <v>2</v>
      </c>
      <c r="Q586" t="str">
        <f t="shared" ca="1" si="121"/>
        <v/>
      </c>
      <c r="R586" t="str">
        <f t="shared" ca="1" si="122"/>
        <v/>
      </c>
      <c r="T586">
        <f t="shared" si="123"/>
        <v>0</v>
      </c>
      <c r="V586">
        <v>2</v>
      </c>
      <c r="W586" t="str">
        <f t="shared" si="126"/>
        <v/>
      </c>
    </row>
    <row r="587" spans="1:23" outlineLevel="2" x14ac:dyDescent="0.3">
      <c r="A587">
        <v>-13.6</v>
      </c>
      <c r="I587" t="str">
        <f t="shared" si="116"/>
        <v/>
      </c>
      <c r="J587" t="str">
        <f t="shared" si="117"/>
        <v/>
      </c>
      <c r="K587" t="e">
        <f t="shared" si="124"/>
        <v>#N/A</v>
      </c>
      <c r="L587">
        <f t="shared" si="118"/>
        <v>-13.6</v>
      </c>
      <c r="M587" t="str">
        <f t="shared" si="119"/>
        <v/>
      </c>
      <c r="N587" t="e">
        <f t="shared" si="125"/>
        <v>#N/A</v>
      </c>
      <c r="P587">
        <f t="shared" si="120"/>
        <v>2</v>
      </c>
      <c r="Q587" t="str">
        <f t="shared" ca="1" si="121"/>
        <v/>
      </c>
      <c r="R587" t="str">
        <f t="shared" ca="1" si="122"/>
        <v/>
      </c>
      <c r="T587">
        <f t="shared" si="123"/>
        <v>0</v>
      </c>
      <c r="V587">
        <v>2</v>
      </c>
      <c r="W587" t="str">
        <f t="shared" si="126"/>
        <v/>
      </c>
    </row>
    <row r="588" spans="1:23" outlineLevel="2" x14ac:dyDescent="0.3">
      <c r="A588">
        <v>-13.11</v>
      </c>
      <c r="I588" t="str">
        <f t="shared" si="116"/>
        <v/>
      </c>
      <c r="J588" t="str">
        <f t="shared" si="117"/>
        <v/>
      </c>
      <c r="K588" t="e">
        <f t="shared" si="124"/>
        <v>#N/A</v>
      </c>
      <c r="L588">
        <f t="shared" si="118"/>
        <v>-13.11</v>
      </c>
      <c r="M588" t="str">
        <f t="shared" si="119"/>
        <v/>
      </c>
      <c r="N588" t="e">
        <f t="shared" si="125"/>
        <v>#N/A</v>
      </c>
      <c r="P588">
        <f t="shared" si="120"/>
        <v>2</v>
      </c>
      <c r="Q588" t="str">
        <f t="shared" ca="1" si="121"/>
        <v/>
      </c>
      <c r="R588" t="str">
        <f t="shared" ca="1" si="122"/>
        <v/>
      </c>
      <c r="T588">
        <f t="shared" si="123"/>
        <v>0</v>
      </c>
      <c r="V588">
        <v>2</v>
      </c>
      <c r="W588" t="str">
        <f t="shared" si="126"/>
        <v/>
      </c>
    </row>
    <row r="589" spans="1:23" outlineLevel="2" x14ac:dyDescent="0.3">
      <c r="A589">
        <v>-14.56</v>
      </c>
      <c r="I589" t="str">
        <f t="shared" si="116"/>
        <v/>
      </c>
      <c r="J589" t="str">
        <f t="shared" si="117"/>
        <v/>
      </c>
      <c r="K589" t="e">
        <f t="shared" si="124"/>
        <v>#N/A</v>
      </c>
      <c r="L589">
        <f t="shared" si="118"/>
        <v>-14.56</v>
      </c>
      <c r="M589" t="str">
        <f t="shared" si="119"/>
        <v/>
      </c>
      <c r="N589" t="e">
        <f t="shared" si="125"/>
        <v>#N/A</v>
      </c>
      <c r="P589">
        <f t="shared" si="120"/>
        <v>2</v>
      </c>
      <c r="Q589" t="str">
        <f t="shared" ca="1" si="121"/>
        <v/>
      </c>
      <c r="R589" t="str">
        <f t="shared" ca="1" si="122"/>
        <v/>
      </c>
      <c r="T589">
        <f t="shared" si="123"/>
        <v>0</v>
      </c>
      <c r="V589">
        <v>2</v>
      </c>
      <c r="W589" t="str">
        <f t="shared" si="126"/>
        <v/>
      </c>
    </row>
    <row r="590" spans="1:23" outlineLevel="2" x14ac:dyDescent="0.3">
      <c r="A590">
        <v>-16.5</v>
      </c>
      <c r="I590" t="str">
        <f t="shared" si="116"/>
        <v/>
      </c>
      <c r="J590" t="str">
        <f t="shared" si="117"/>
        <v/>
      </c>
      <c r="K590" t="e">
        <f t="shared" si="124"/>
        <v>#N/A</v>
      </c>
      <c r="L590">
        <f t="shared" si="118"/>
        <v>-16.5</v>
      </c>
      <c r="M590" t="str">
        <f t="shared" si="119"/>
        <v/>
      </c>
      <c r="N590" t="e">
        <f t="shared" si="125"/>
        <v>#N/A</v>
      </c>
      <c r="P590">
        <f t="shared" si="120"/>
        <v>2</v>
      </c>
      <c r="Q590" t="str">
        <f t="shared" ca="1" si="121"/>
        <v/>
      </c>
      <c r="R590" t="str">
        <f t="shared" ca="1" si="122"/>
        <v/>
      </c>
      <c r="T590">
        <f t="shared" si="123"/>
        <v>0</v>
      </c>
      <c r="V590">
        <v>2</v>
      </c>
      <c r="W590" t="str">
        <f t="shared" si="126"/>
        <v/>
      </c>
    </row>
    <row r="591" spans="1:23" outlineLevel="2" x14ac:dyDescent="0.3">
      <c r="A591">
        <v>-17.600000000000001</v>
      </c>
      <c r="I591" t="str">
        <f t="shared" si="116"/>
        <v/>
      </c>
      <c r="J591" t="str">
        <f t="shared" si="117"/>
        <v/>
      </c>
      <c r="K591" t="e">
        <f t="shared" si="124"/>
        <v>#N/A</v>
      </c>
      <c r="L591">
        <f t="shared" si="118"/>
        <v>-17.600000000000001</v>
      </c>
      <c r="M591" t="str">
        <f t="shared" si="119"/>
        <v/>
      </c>
      <c r="N591" t="e">
        <f t="shared" si="125"/>
        <v>#N/A</v>
      </c>
      <c r="P591">
        <f t="shared" si="120"/>
        <v>2</v>
      </c>
      <c r="Q591" t="str">
        <f t="shared" ca="1" si="121"/>
        <v/>
      </c>
      <c r="R591" t="str">
        <f t="shared" ca="1" si="122"/>
        <v/>
      </c>
      <c r="T591">
        <f t="shared" si="123"/>
        <v>0</v>
      </c>
      <c r="V591">
        <v>2</v>
      </c>
      <c r="W591" t="str">
        <f t="shared" si="126"/>
        <v/>
      </c>
    </row>
    <row r="592" spans="1:23" outlineLevel="2" x14ac:dyDescent="0.3">
      <c r="A592">
        <v>-18.07</v>
      </c>
      <c r="I592" t="str">
        <f t="shared" si="116"/>
        <v/>
      </c>
      <c r="J592" t="str">
        <f>IF(AND(I593&gt;I592,I593&gt;I595,I593&gt;$D$5),I593,"")</f>
        <v/>
      </c>
      <c r="K592" t="e">
        <f t="shared" si="124"/>
        <v>#N/A</v>
      </c>
      <c r="L592">
        <f t="shared" si="118"/>
        <v>-18.07</v>
      </c>
      <c r="M592" t="str">
        <f>IF(AND(L593&lt;L592,L593&lt;L595,L593&lt;$G$5),L593,"")</f>
        <v/>
      </c>
      <c r="N592" t="e">
        <f t="shared" si="125"/>
        <v>#N/A</v>
      </c>
      <c r="P592">
        <f t="shared" si="120"/>
        <v>2</v>
      </c>
      <c r="Q592" t="str">
        <f t="shared" ca="1" si="121"/>
        <v/>
      </c>
      <c r="R592" t="str">
        <f t="shared" ca="1" si="122"/>
        <v/>
      </c>
      <c r="T592">
        <f t="shared" si="123"/>
        <v>0</v>
      </c>
      <c r="V592">
        <v>2</v>
      </c>
      <c r="W592" t="str">
        <f t="shared" si="126"/>
        <v/>
      </c>
    </row>
    <row r="593" spans="1:23" outlineLevel="2" x14ac:dyDescent="0.3">
      <c r="A593">
        <v>-16.059999999999999</v>
      </c>
      <c r="I593" t="str">
        <f t="shared" si="116"/>
        <v/>
      </c>
      <c r="J593" t="str">
        <f>IF(AND(I595&gt;I593,I595&gt;I596,I595&gt;$D$5),I595,"")</f>
        <v/>
      </c>
      <c r="K593" t="e">
        <f t="shared" si="124"/>
        <v>#N/A</v>
      </c>
      <c r="L593">
        <f t="shared" si="118"/>
        <v>-16.059999999999999</v>
      </c>
      <c r="M593" t="str">
        <f>IF(AND(L595&lt;L593,L595&lt;L596,L595&lt;$G$5),L595,"")</f>
        <v/>
      </c>
      <c r="N593" t="e">
        <f t="shared" si="125"/>
        <v>#N/A</v>
      </c>
      <c r="P593">
        <f t="shared" si="120"/>
        <v>2</v>
      </c>
      <c r="Q593">
        <f ca="1">IF(AND(A595&gt;=0,A593&lt;0),CELL("ROW",A595),IF(AND(A595&lt;0,A593&gt;=0),CELL("ROW",A595),""))</f>
        <v>595</v>
      </c>
      <c r="R593" t="str">
        <f t="shared" ca="1" si="122"/>
        <v>595</v>
      </c>
      <c r="T593">
        <f>S595-S593</f>
        <v>0</v>
      </c>
      <c r="V593">
        <v>2</v>
      </c>
      <c r="W593" t="str">
        <f t="shared" si="126"/>
        <v/>
      </c>
    </row>
    <row r="594" spans="1:23" outlineLevel="1" x14ac:dyDescent="0.3">
      <c r="O594" s="1" t="s">
        <v>27</v>
      </c>
      <c r="P594">
        <f>SUBTOTAL(3,P565:P593)</f>
        <v>29</v>
      </c>
      <c r="V594">
        <v>29</v>
      </c>
      <c r="W594" t="str">
        <f t="shared" si="126"/>
        <v/>
      </c>
    </row>
    <row r="595" spans="1:23" outlineLevel="2" x14ac:dyDescent="0.3">
      <c r="A595">
        <v>13.84</v>
      </c>
      <c r="I595">
        <f t="shared" si="116"/>
        <v>13.84</v>
      </c>
      <c r="J595" t="str">
        <f t="shared" si="117"/>
        <v/>
      </c>
      <c r="K595" t="e">
        <f t="shared" ref="K595:K633" si="127">MATCH(J595,$A$1:$A$10041,0)</f>
        <v>#N/A</v>
      </c>
      <c r="L595" t="str">
        <f t="shared" si="118"/>
        <v/>
      </c>
      <c r="M595" t="str">
        <f t="shared" si="119"/>
        <v/>
      </c>
      <c r="N595" t="e">
        <f t="shared" ref="N595:N633" si="128">MATCH(M595,$A$1:$A$10041,0)</f>
        <v>#N/A</v>
      </c>
      <c r="P595">
        <f t="shared" si="120"/>
        <v>1</v>
      </c>
      <c r="Q595" t="str">
        <f t="shared" ca="1" si="121"/>
        <v/>
      </c>
      <c r="R595" t="str">
        <f t="shared" ca="1" si="122"/>
        <v/>
      </c>
      <c r="T595">
        <f t="shared" si="123"/>
        <v>0</v>
      </c>
      <c r="V595">
        <v>1</v>
      </c>
      <c r="W595" t="str">
        <f t="shared" si="126"/>
        <v/>
      </c>
    </row>
    <row r="596" spans="1:23" outlineLevel="2" x14ac:dyDescent="0.3">
      <c r="A596">
        <v>16.45</v>
      </c>
      <c r="I596">
        <f t="shared" si="116"/>
        <v>16.45</v>
      </c>
      <c r="J596" t="str">
        <f t="shared" si="117"/>
        <v/>
      </c>
      <c r="K596" t="e">
        <f t="shared" si="127"/>
        <v>#N/A</v>
      </c>
      <c r="L596" t="str">
        <f t="shared" si="118"/>
        <v/>
      </c>
      <c r="M596" t="str">
        <f t="shared" si="119"/>
        <v/>
      </c>
      <c r="N596" t="e">
        <f t="shared" si="128"/>
        <v>#N/A</v>
      </c>
      <c r="P596">
        <f t="shared" si="120"/>
        <v>1</v>
      </c>
      <c r="Q596" t="str">
        <f t="shared" ca="1" si="121"/>
        <v/>
      </c>
      <c r="R596" t="str">
        <f t="shared" ca="1" si="122"/>
        <v/>
      </c>
      <c r="T596">
        <f t="shared" si="123"/>
        <v>0</v>
      </c>
      <c r="V596">
        <v>1</v>
      </c>
      <c r="W596" t="str">
        <f t="shared" si="126"/>
        <v/>
      </c>
    </row>
    <row r="597" spans="1:23" outlineLevel="2" x14ac:dyDescent="0.3">
      <c r="A597">
        <v>19.52</v>
      </c>
      <c r="I597">
        <f t="shared" si="116"/>
        <v>19.52</v>
      </c>
      <c r="J597" t="str">
        <f t="shared" si="117"/>
        <v/>
      </c>
      <c r="K597" t="e">
        <f t="shared" si="127"/>
        <v>#N/A</v>
      </c>
      <c r="L597" t="str">
        <f t="shared" si="118"/>
        <v/>
      </c>
      <c r="M597" t="str">
        <f t="shared" si="119"/>
        <v/>
      </c>
      <c r="N597" t="e">
        <f t="shared" si="128"/>
        <v>#N/A</v>
      </c>
      <c r="P597">
        <f t="shared" si="120"/>
        <v>1</v>
      </c>
      <c r="Q597" t="str">
        <f t="shared" ca="1" si="121"/>
        <v/>
      </c>
      <c r="R597" t="str">
        <f t="shared" ca="1" si="122"/>
        <v/>
      </c>
      <c r="T597">
        <f t="shared" si="123"/>
        <v>0</v>
      </c>
      <c r="V597">
        <v>1</v>
      </c>
      <c r="W597" t="str">
        <f t="shared" si="126"/>
        <v/>
      </c>
    </row>
    <row r="598" spans="1:23" outlineLevel="2" x14ac:dyDescent="0.3">
      <c r="A598">
        <v>23.18</v>
      </c>
      <c r="I598">
        <f t="shared" si="116"/>
        <v>23.18</v>
      </c>
      <c r="J598" t="str">
        <f t="shared" si="117"/>
        <v/>
      </c>
      <c r="K598" t="e">
        <f t="shared" si="127"/>
        <v>#N/A</v>
      </c>
      <c r="L598" t="str">
        <f t="shared" si="118"/>
        <v/>
      </c>
      <c r="M598" t="str">
        <f t="shared" si="119"/>
        <v/>
      </c>
      <c r="N598" t="e">
        <f t="shared" si="128"/>
        <v>#N/A</v>
      </c>
      <c r="P598">
        <f t="shared" si="120"/>
        <v>1</v>
      </c>
      <c r="Q598" t="str">
        <f t="shared" ca="1" si="121"/>
        <v/>
      </c>
      <c r="R598" t="str">
        <f t="shared" ca="1" si="122"/>
        <v/>
      </c>
      <c r="T598">
        <f t="shared" si="123"/>
        <v>0</v>
      </c>
      <c r="V598">
        <v>1</v>
      </c>
      <c r="W598" t="str">
        <f t="shared" si="126"/>
        <v/>
      </c>
    </row>
    <row r="599" spans="1:23" outlineLevel="2" x14ac:dyDescent="0.3">
      <c r="A599">
        <v>26.16</v>
      </c>
      <c r="I599">
        <f t="shared" si="116"/>
        <v>26.16</v>
      </c>
      <c r="J599" t="str">
        <f t="shared" si="117"/>
        <v/>
      </c>
      <c r="K599" t="e">
        <f t="shared" si="127"/>
        <v>#N/A</v>
      </c>
      <c r="L599" t="str">
        <f t="shared" si="118"/>
        <v/>
      </c>
      <c r="M599" t="str">
        <f t="shared" si="119"/>
        <v/>
      </c>
      <c r="N599" t="e">
        <f t="shared" si="128"/>
        <v>#N/A</v>
      </c>
      <c r="P599">
        <f t="shared" si="120"/>
        <v>1</v>
      </c>
      <c r="Q599" t="str">
        <f t="shared" ca="1" si="121"/>
        <v/>
      </c>
      <c r="R599" t="str">
        <f t="shared" ca="1" si="122"/>
        <v/>
      </c>
      <c r="T599">
        <f t="shared" si="123"/>
        <v>0</v>
      </c>
      <c r="V599">
        <v>1</v>
      </c>
      <c r="W599" t="str">
        <f t="shared" si="126"/>
        <v/>
      </c>
    </row>
    <row r="600" spans="1:23" outlineLevel="2" x14ac:dyDescent="0.3">
      <c r="A600">
        <v>28.09</v>
      </c>
      <c r="I600">
        <f t="shared" si="116"/>
        <v>28.09</v>
      </c>
      <c r="J600" t="str">
        <f t="shared" si="117"/>
        <v/>
      </c>
      <c r="K600" t="e">
        <f t="shared" si="127"/>
        <v>#N/A</v>
      </c>
      <c r="L600" t="str">
        <f t="shared" si="118"/>
        <v/>
      </c>
      <c r="M600" t="str">
        <f t="shared" si="119"/>
        <v/>
      </c>
      <c r="N600" t="e">
        <f t="shared" si="128"/>
        <v>#N/A</v>
      </c>
      <c r="P600">
        <f t="shared" si="120"/>
        <v>1</v>
      </c>
      <c r="Q600" t="str">
        <f t="shared" ca="1" si="121"/>
        <v/>
      </c>
      <c r="R600" t="str">
        <f t="shared" ca="1" si="122"/>
        <v/>
      </c>
      <c r="T600">
        <f t="shared" si="123"/>
        <v>0</v>
      </c>
      <c r="V600">
        <v>1</v>
      </c>
      <c r="W600" t="str">
        <f t="shared" si="126"/>
        <v/>
      </c>
    </row>
    <row r="601" spans="1:23" outlineLevel="2" x14ac:dyDescent="0.3">
      <c r="A601">
        <v>31.17</v>
      </c>
      <c r="I601">
        <f t="shared" ref="I601:I665" si="129">IF(A601&gt;0,A601,"")</f>
        <v>31.17</v>
      </c>
      <c r="J601" t="str">
        <f t="shared" ref="J601:J665" si="130">IF(AND(I602&gt;I601,I602&gt;I603,I602&gt;$D$5),I602,"")</f>
        <v/>
      </c>
      <c r="K601" t="e">
        <f t="shared" si="127"/>
        <v>#N/A</v>
      </c>
      <c r="L601" t="str">
        <f t="shared" ref="L601:L665" si="131">IF(A601&lt;0,A601,"")</f>
        <v/>
      </c>
      <c r="M601" t="str">
        <f t="shared" ref="M601:M665" si="132">IF(AND(L602&lt;L601,L602&lt;L603,L602&lt;$G$5),L602,"")</f>
        <v/>
      </c>
      <c r="N601" t="e">
        <f t="shared" si="128"/>
        <v>#N/A</v>
      </c>
      <c r="P601">
        <f t="shared" ref="P601:P665" si="133">IF(A601&gt;0,1,2)</f>
        <v>1</v>
      </c>
      <c r="Q601" t="str">
        <f t="shared" ref="Q601:Q665" ca="1" si="134">IF(AND(A602&gt;=0,A601&lt;0),CELL("ROW",A602),IF(AND(A602&lt;0,A601&gt;=0),CELL("ROW",A602),""))</f>
        <v/>
      </c>
      <c r="R601" t="str">
        <f t="shared" ref="R601:R665" ca="1" si="135">IF(ISNUMBER(K601),IF(INT(K601)=K601,K601,""),"")&amp;IF(ISNUMBER(N601),IF(INT(N601)=N601,N601,""),"")&amp;IF(ISNUMBER(Q601),IF(INT(Q601)=Q601,Q601,""),"")</f>
        <v/>
      </c>
      <c r="T601">
        <f t="shared" ref="T601:T665" si="136">S602-S601</f>
        <v>0</v>
      </c>
      <c r="V601">
        <v>1</v>
      </c>
      <c r="W601" t="str">
        <f t="shared" si="126"/>
        <v/>
      </c>
    </row>
    <row r="602" spans="1:23" outlineLevel="2" x14ac:dyDescent="0.3">
      <c r="A602">
        <v>37.01</v>
      </c>
      <c r="I602">
        <f t="shared" si="129"/>
        <v>37.01</v>
      </c>
      <c r="J602" t="str">
        <f t="shared" si="130"/>
        <v/>
      </c>
      <c r="K602" t="e">
        <f t="shared" si="127"/>
        <v>#N/A</v>
      </c>
      <c r="L602" t="str">
        <f t="shared" si="131"/>
        <v/>
      </c>
      <c r="M602" t="str">
        <f t="shared" si="132"/>
        <v/>
      </c>
      <c r="N602" t="e">
        <f t="shared" si="128"/>
        <v>#N/A</v>
      </c>
      <c r="P602">
        <f t="shared" si="133"/>
        <v>1</v>
      </c>
      <c r="Q602" t="str">
        <f t="shared" ca="1" si="134"/>
        <v/>
      </c>
      <c r="R602" t="str">
        <f t="shared" ca="1" si="135"/>
        <v/>
      </c>
      <c r="T602">
        <f t="shared" si="136"/>
        <v>0</v>
      </c>
      <c r="V602">
        <v>1</v>
      </c>
      <c r="W602" t="str">
        <f t="shared" si="126"/>
        <v/>
      </c>
    </row>
    <row r="603" spans="1:23" outlineLevel="2" x14ac:dyDescent="0.3">
      <c r="A603">
        <v>41.82</v>
      </c>
      <c r="I603">
        <f t="shared" si="129"/>
        <v>41.82</v>
      </c>
      <c r="J603" t="str">
        <f t="shared" si="130"/>
        <v/>
      </c>
      <c r="K603" t="e">
        <f t="shared" si="127"/>
        <v>#N/A</v>
      </c>
      <c r="L603" t="str">
        <f t="shared" si="131"/>
        <v/>
      </c>
      <c r="M603" t="str">
        <f t="shared" si="132"/>
        <v/>
      </c>
      <c r="N603" t="e">
        <f t="shared" si="128"/>
        <v>#N/A</v>
      </c>
      <c r="P603">
        <f t="shared" si="133"/>
        <v>1</v>
      </c>
      <c r="Q603" t="str">
        <f t="shared" ca="1" si="134"/>
        <v/>
      </c>
      <c r="R603" t="str">
        <f t="shared" ca="1" si="135"/>
        <v/>
      </c>
      <c r="T603">
        <f t="shared" si="136"/>
        <v>0</v>
      </c>
      <c r="V603">
        <v>1</v>
      </c>
      <c r="W603" t="str">
        <f t="shared" si="126"/>
        <v/>
      </c>
    </row>
    <row r="604" spans="1:23" outlineLevel="2" x14ac:dyDescent="0.3">
      <c r="A604">
        <v>41.09</v>
      </c>
      <c r="I604">
        <f t="shared" si="129"/>
        <v>41.09</v>
      </c>
      <c r="J604" t="str">
        <f t="shared" si="130"/>
        <v/>
      </c>
      <c r="K604" t="e">
        <f t="shared" si="127"/>
        <v>#N/A</v>
      </c>
      <c r="L604" t="str">
        <f t="shared" si="131"/>
        <v/>
      </c>
      <c r="M604" t="str">
        <f t="shared" si="132"/>
        <v/>
      </c>
      <c r="N604" t="e">
        <f t="shared" si="128"/>
        <v>#N/A</v>
      </c>
      <c r="P604">
        <f t="shared" si="133"/>
        <v>1</v>
      </c>
      <c r="Q604" t="str">
        <f t="shared" ca="1" si="134"/>
        <v/>
      </c>
      <c r="R604" t="str">
        <f t="shared" ca="1" si="135"/>
        <v/>
      </c>
      <c r="T604">
        <f t="shared" si="136"/>
        <v>0</v>
      </c>
      <c r="V604">
        <v>1</v>
      </c>
      <c r="W604" t="str">
        <f t="shared" si="126"/>
        <v/>
      </c>
    </row>
    <row r="605" spans="1:23" outlineLevel="2" x14ac:dyDescent="0.3">
      <c r="A605">
        <v>36.950000000000003</v>
      </c>
      <c r="I605">
        <f t="shared" si="129"/>
        <v>36.950000000000003</v>
      </c>
      <c r="J605" t="str">
        <f t="shared" si="130"/>
        <v/>
      </c>
      <c r="K605" t="e">
        <f t="shared" si="127"/>
        <v>#N/A</v>
      </c>
      <c r="L605" t="str">
        <f t="shared" si="131"/>
        <v/>
      </c>
      <c r="M605" t="str">
        <f t="shared" si="132"/>
        <v/>
      </c>
      <c r="N605" t="e">
        <f t="shared" si="128"/>
        <v>#N/A</v>
      </c>
      <c r="P605">
        <f t="shared" si="133"/>
        <v>1</v>
      </c>
      <c r="Q605" t="str">
        <f t="shared" ca="1" si="134"/>
        <v/>
      </c>
      <c r="R605" t="str">
        <f t="shared" ca="1" si="135"/>
        <v/>
      </c>
      <c r="T605">
        <f t="shared" si="136"/>
        <v>0</v>
      </c>
      <c r="V605">
        <v>1</v>
      </c>
      <c r="W605" t="str">
        <f t="shared" si="126"/>
        <v/>
      </c>
    </row>
    <row r="606" spans="1:23" outlineLevel="2" x14ac:dyDescent="0.3">
      <c r="A606">
        <v>33.659999999999997</v>
      </c>
      <c r="I606">
        <f t="shared" si="129"/>
        <v>33.659999999999997</v>
      </c>
      <c r="J606" t="str">
        <f t="shared" si="130"/>
        <v/>
      </c>
      <c r="K606" t="e">
        <f t="shared" si="127"/>
        <v>#N/A</v>
      </c>
      <c r="L606" t="str">
        <f t="shared" si="131"/>
        <v/>
      </c>
      <c r="M606" t="str">
        <f t="shared" si="132"/>
        <v/>
      </c>
      <c r="N606" t="e">
        <f t="shared" si="128"/>
        <v>#N/A</v>
      </c>
      <c r="P606">
        <f t="shared" si="133"/>
        <v>1</v>
      </c>
      <c r="Q606" t="str">
        <f t="shared" ca="1" si="134"/>
        <v/>
      </c>
      <c r="R606" t="str">
        <f t="shared" ca="1" si="135"/>
        <v/>
      </c>
      <c r="T606">
        <f t="shared" si="136"/>
        <v>0</v>
      </c>
      <c r="V606">
        <v>1</v>
      </c>
      <c r="W606" t="str">
        <f t="shared" si="126"/>
        <v/>
      </c>
    </row>
    <row r="607" spans="1:23" outlineLevel="2" x14ac:dyDescent="0.3">
      <c r="A607">
        <v>32.549999999999997</v>
      </c>
      <c r="I607">
        <f t="shared" si="129"/>
        <v>32.549999999999997</v>
      </c>
      <c r="J607" t="str">
        <f t="shared" si="130"/>
        <v/>
      </c>
      <c r="K607" t="e">
        <f t="shared" si="127"/>
        <v>#N/A</v>
      </c>
      <c r="L607" t="str">
        <f t="shared" si="131"/>
        <v/>
      </c>
      <c r="M607" t="str">
        <f t="shared" si="132"/>
        <v/>
      </c>
      <c r="N607" t="e">
        <f t="shared" si="128"/>
        <v>#N/A</v>
      </c>
      <c r="P607">
        <f t="shared" si="133"/>
        <v>1</v>
      </c>
      <c r="Q607" t="str">
        <f t="shared" ca="1" si="134"/>
        <v/>
      </c>
      <c r="R607" t="str">
        <f t="shared" ca="1" si="135"/>
        <v/>
      </c>
      <c r="T607">
        <f t="shared" si="136"/>
        <v>0</v>
      </c>
      <c r="V607">
        <v>1</v>
      </c>
      <c r="W607" t="str">
        <f t="shared" si="126"/>
        <v/>
      </c>
    </row>
    <row r="608" spans="1:23" outlineLevel="2" x14ac:dyDescent="0.3">
      <c r="A608">
        <v>34.409999999999997</v>
      </c>
      <c r="I608">
        <f t="shared" si="129"/>
        <v>34.409999999999997</v>
      </c>
      <c r="J608" t="str">
        <f t="shared" si="130"/>
        <v/>
      </c>
      <c r="K608" t="e">
        <f t="shared" si="127"/>
        <v>#N/A</v>
      </c>
      <c r="L608" t="str">
        <f t="shared" si="131"/>
        <v/>
      </c>
      <c r="M608" t="str">
        <f t="shared" si="132"/>
        <v/>
      </c>
      <c r="N608" t="e">
        <f t="shared" si="128"/>
        <v>#N/A</v>
      </c>
      <c r="P608">
        <f t="shared" si="133"/>
        <v>1</v>
      </c>
      <c r="Q608" t="str">
        <f t="shared" ca="1" si="134"/>
        <v/>
      </c>
      <c r="R608" t="str">
        <f t="shared" ca="1" si="135"/>
        <v/>
      </c>
      <c r="T608">
        <f t="shared" si="136"/>
        <v>0</v>
      </c>
      <c r="V608">
        <v>1</v>
      </c>
      <c r="W608" t="str">
        <f t="shared" si="126"/>
        <v/>
      </c>
    </row>
    <row r="609" spans="1:23" outlineLevel="2" x14ac:dyDescent="0.3">
      <c r="A609">
        <v>38.93</v>
      </c>
      <c r="I609">
        <f t="shared" si="129"/>
        <v>38.93</v>
      </c>
      <c r="J609" t="str">
        <f t="shared" si="130"/>
        <v/>
      </c>
      <c r="K609" t="e">
        <f t="shared" si="127"/>
        <v>#N/A</v>
      </c>
      <c r="L609" t="str">
        <f t="shared" si="131"/>
        <v/>
      </c>
      <c r="M609" t="str">
        <f t="shared" si="132"/>
        <v/>
      </c>
      <c r="N609" t="e">
        <f t="shared" si="128"/>
        <v>#N/A</v>
      </c>
      <c r="P609">
        <f t="shared" si="133"/>
        <v>1</v>
      </c>
      <c r="Q609" t="str">
        <f t="shared" ca="1" si="134"/>
        <v/>
      </c>
      <c r="R609" t="str">
        <f t="shared" ca="1" si="135"/>
        <v/>
      </c>
      <c r="T609">
        <f t="shared" si="136"/>
        <v>0</v>
      </c>
      <c r="V609">
        <v>1</v>
      </c>
      <c r="W609" t="str">
        <f t="shared" si="126"/>
        <v/>
      </c>
    </row>
    <row r="610" spans="1:23" outlineLevel="2" x14ac:dyDescent="0.3">
      <c r="A610">
        <v>43.26</v>
      </c>
      <c r="I610">
        <f t="shared" si="129"/>
        <v>43.26</v>
      </c>
      <c r="J610" t="str">
        <f t="shared" si="130"/>
        <v/>
      </c>
      <c r="K610" t="e">
        <f t="shared" si="127"/>
        <v>#N/A</v>
      </c>
      <c r="L610" t="str">
        <f t="shared" si="131"/>
        <v/>
      </c>
      <c r="M610" t="str">
        <f t="shared" si="132"/>
        <v/>
      </c>
      <c r="N610" t="e">
        <f t="shared" si="128"/>
        <v>#N/A</v>
      </c>
      <c r="P610">
        <f t="shared" si="133"/>
        <v>1</v>
      </c>
      <c r="Q610" t="str">
        <f t="shared" ca="1" si="134"/>
        <v/>
      </c>
      <c r="R610" t="str">
        <f t="shared" ca="1" si="135"/>
        <v/>
      </c>
      <c r="T610">
        <f t="shared" si="136"/>
        <v>0</v>
      </c>
      <c r="V610">
        <v>1</v>
      </c>
      <c r="W610" t="str">
        <f t="shared" si="126"/>
        <v/>
      </c>
    </row>
    <row r="611" spans="1:23" outlineLevel="2" x14ac:dyDescent="0.3">
      <c r="A611">
        <v>45.27</v>
      </c>
      <c r="I611">
        <f t="shared" si="129"/>
        <v>45.27</v>
      </c>
      <c r="J611" t="str">
        <f t="shared" si="130"/>
        <v/>
      </c>
      <c r="K611" t="e">
        <f t="shared" si="127"/>
        <v>#N/A</v>
      </c>
      <c r="L611" t="str">
        <f t="shared" si="131"/>
        <v/>
      </c>
      <c r="M611" t="str">
        <f t="shared" si="132"/>
        <v/>
      </c>
      <c r="N611" t="e">
        <f t="shared" si="128"/>
        <v>#N/A</v>
      </c>
      <c r="P611">
        <f t="shared" si="133"/>
        <v>1</v>
      </c>
      <c r="Q611" t="str">
        <f t="shared" ca="1" si="134"/>
        <v/>
      </c>
      <c r="R611" t="str">
        <f t="shared" ca="1" si="135"/>
        <v/>
      </c>
      <c r="T611">
        <f t="shared" si="136"/>
        <v>0</v>
      </c>
      <c r="V611">
        <v>1</v>
      </c>
      <c r="W611" t="str">
        <f t="shared" si="126"/>
        <v/>
      </c>
    </row>
    <row r="612" spans="1:23" outlineLevel="2" x14ac:dyDescent="0.3">
      <c r="A612">
        <v>45.77</v>
      </c>
      <c r="I612">
        <f t="shared" si="129"/>
        <v>45.77</v>
      </c>
      <c r="J612" t="str">
        <f t="shared" si="130"/>
        <v/>
      </c>
      <c r="K612" t="e">
        <f t="shared" si="127"/>
        <v>#N/A</v>
      </c>
      <c r="L612" t="str">
        <f t="shared" si="131"/>
        <v/>
      </c>
      <c r="M612" t="str">
        <f t="shared" si="132"/>
        <v/>
      </c>
      <c r="N612" t="e">
        <f t="shared" si="128"/>
        <v>#N/A</v>
      </c>
      <c r="P612">
        <f t="shared" si="133"/>
        <v>1</v>
      </c>
      <c r="Q612" t="str">
        <f t="shared" ca="1" si="134"/>
        <v/>
      </c>
      <c r="R612" t="str">
        <f t="shared" ca="1" si="135"/>
        <v/>
      </c>
      <c r="T612">
        <f t="shared" si="136"/>
        <v>0</v>
      </c>
      <c r="V612">
        <v>1</v>
      </c>
      <c r="W612" t="str">
        <f t="shared" si="126"/>
        <v/>
      </c>
    </row>
    <row r="613" spans="1:23" outlineLevel="2" x14ac:dyDescent="0.3">
      <c r="A613">
        <v>45.71</v>
      </c>
      <c r="I613">
        <f t="shared" si="129"/>
        <v>45.71</v>
      </c>
      <c r="J613" t="str">
        <f t="shared" si="130"/>
        <v/>
      </c>
      <c r="K613" t="e">
        <f t="shared" si="127"/>
        <v>#N/A</v>
      </c>
      <c r="L613" t="str">
        <f t="shared" si="131"/>
        <v/>
      </c>
      <c r="M613" t="str">
        <f t="shared" si="132"/>
        <v/>
      </c>
      <c r="N613" t="e">
        <f t="shared" si="128"/>
        <v>#N/A</v>
      </c>
      <c r="P613">
        <f t="shared" si="133"/>
        <v>1</v>
      </c>
      <c r="Q613" t="str">
        <f t="shared" ca="1" si="134"/>
        <v/>
      </c>
      <c r="R613" t="str">
        <f t="shared" ca="1" si="135"/>
        <v/>
      </c>
      <c r="T613">
        <f t="shared" si="136"/>
        <v>0</v>
      </c>
      <c r="V613">
        <v>1</v>
      </c>
      <c r="W613" t="str">
        <f t="shared" si="126"/>
        <v/>
      </c>
    </row>
    <row r="614" spans="1:23" outlineLevel="2" x14ac:dyDescent="0.3">
      <c r="A614">
        <v>45.77</v>
      </c>
      <c r="I614">
        <f t="shared" si="129"/>
        <v>45.77</v>
      </c>
      <c r="J614" t="str">
        <f t="shared" si="130"/>
        <v/>
      </c>
      <c r="K614" t="e">
        <f t="shared" si="127"/>
        <v>#N/A</v>
      </c>
      <c r="L614" t="str">
        <f t="shared" si="131"/>
        <v/>
      </c>
      <c r="M614" t="str">
        <f t="shared" si="132"/>
        <v/>
      </c>
      <c r="N614" t="e">
        <f t="shared" si="128"/>
        <v>#N/A</v>
      </c>
      <c r="P614">
        <f t="shared" si="133"/>
        <v>1</v>
      </c>
      <c r="Q614" t="str">
        <f t="shared" ca="1" si="134"/>
        <v/>
      </c>
      <c r="R614" t="str">
        <f t="shared" ca="1" si="135"/>
        <v/>
      </c>
      <c r="T614">
        <f t="shared" si="136"/>
        <v>0</v>
      </c>
      <c r="V614">
        <v>1</v>
      </c>
      <c r="W614" t="str">
        <f t="shared" si="126"/>
        <v/>
      </c>
    </row>
    <row r="615" spans="1:23" outlineLevel="2" x14ac:dyDescent="0.3">
      <c r="A615">
        <v>46.5</v>
      </c>
      <c r="I615">
        <f t="shared" si="129"/>
        <v>46.5</v>
      </c>
      <c r="J615" t="str">
        <f t="shared" si="130"/>
        <v/>
      </c>
      <c r="K615" t="e">
        <f t="shared" si="127"/>
        <v>#N/A</v>
      </c>
      <c r="L615" t="str">
        <f t="shared" si="131"/>
        <v/>
      </c>
      <c r="M615" t="str">
        <f t="shared" si="132"/>
        <v/>
      </c>
      <c r="N615" t="e">
        <f t="shared" si="128"/>
        <v>#N/A</v>
      </c>
      <c r="P615">
        <f t="shared" si="133"/>
        <v>1</v>
      </c>
      <c r="Q615" t="str">
        <f t="shared" ca="1" si="134"/>
        <v/>
      </c>
      <c r="R615" t="str">
        <f t="shared" ca="1" si="135"/>
        <v/>
      </c>
      <c r="T615">
        <f t="shared" si="136"/>
        <v>0</v>
      </c>
      <c r="V615">
        <v>1</v>
      </c>
      <c r="W615" t="str">
        <f t="shared" si="126"/>
        <v/>
      </c>
    </row>
    <row r="616" spans="1:23" outlineLevel="2" x14ac:dyDescent="0.3">
      <c r="A616">
        <v>47.26</v>
      </c>
      <c r="I616">
        <f t="shared" si="129"/>
        <v>47.26</v>
      </c>
      <c r="J616" t="str">
        <f t="shared" si="130"/>
        <v/>
      </c>
      <c r="K616" t="e">
        <f t="shared" si="127"/>
        <v>#N/A</v>
      </c>
      <c r="L616" t="str">
        <f t="shared" si="131"/>
        <v/>
      </c>
      <c r="M616" t="str">
        <f t="shared" si="132"/>
        <v/>
      </c>
      <c r="N616" t="e">
        <f t="shared" si="128"/>
        <v>#N/A</v>
      </c>
      <c r="P616">
        <f t="shared" si="133"/>
        <v>1</v>
      </c>
      <c r="Q616" t="str">
        <f t="shared" ca="1" si="134"/>
        <v/>
      </c>
      <c r="R616" t="str">
        <f t="shared" ca="1" si="135"/>
        <v/>
      </c>
      <c r="T616">
        <f t="shared" si="136"/>
        <v>0</v>
      </c>
      <c r="V616">
        <v>1</v>
      </c>
      <c r="W616" t="str">
        <f t="shared" si="126"/>
        <v/>
      </c>
    </row>
    <row r="617" spans="1:23" outlineLevel="2" x14ac:dyDescent="0.3">
      <c r="A617">
        <v>47.17</v>
      </c>
      <c r="I617">
        <f t="shared" si="129"/>
        <v>47.17</v>
      </c>
      <c r="J617" t="str">
        <f t="shared" si="130"/>
        <v/>
      </c>
      <c r="K617" t="e">
        <f t="shared" si="127"/>
        <v>#N/A</v>
      </c>
      <c r="L617" t="str">
        <f t="shared" si="131"/>
        <v/>
      </c>
      <c r="M617" t="str">
        <f t="shared" si="132"/>
        <v/>
      </c>
      <c r="N617" t="e">
        <f t="shared" si="128"/>
        <v>#N/A</v>
      </c>
      <c r="P617">
        <f t="shared" si="133"/>
        <v>1</v>
      </c>
      <c r="Q617" t="str">
        <f t="shared" ca="1" si="134"/>
        <v/>
      </c>
      <c r="R617" t="str">
        <f t="shared" ca="1" si="135"/>
        <v/>
      </c>
      <c r="T617">
        <f t="shared" si="136"/>
        <v>0</v>
      </c>
      <c r="V617">
        <v>1</v>
      </c>
      <c r="W617" t="str">
        <f t="shared" si="126"/>
        <v/>
      </c>
    </row>
    <row r="618" spans="1:23" outlineLevel="2" x14ac:dyDescent="0.3">
      <c r="A618">
        <v>46.54</v>
      </c>
      <c r="I618">
        <f t="shared" si="129"/>
        <v>46.54</v>
      </c>
      <c r="J618" t="str">
        <f t="shared" si="130"/>
        <v/>
      </c>
      <c r="K618" t="e">
        <f t="shared" si="127"/>
        <v>#N/A</v>
      </c>
      <c r="L618" t="str">
        <f t="shared" si="131"/>
        <v/>
      </c>
      <c r="M618" t="str">
        <f t="shared" si="132"/>
        <v/>
      </c>
      <c r="N618" t="e">
        <f t="shared" si="128"/>
        <v>#N/A</v>
      </c>
      <c r="P618">
        <f t="shared" si="133"/>
        <v>1</v>
      </c>
      <c r="Q618" t="str">
        <f t="shared" ca="1" si="134"/>
        <v/>
      </c>
      <c r="R618" t="str">
        <f t="shared" ca="1" si="135"/>
        <v/>
      </c>
      <c r="T618">
        <f t="shared" si="136"/>
        <v>0</v>
      </c>
      <c r="V618">
        <v>1</v>
      </c>
      <c r="W618" t="str">
        <f t="shared" si="126"/>
        <v/>
      </c>
    </row>
    <row r="619" spans="1:23" outlineLevel="2" x14ac:dyDescent="0.3">
      <c r="A619">
        <v>45.6</v>
      </c>
      <c r="I619">
        <f t="shared" si="129"/>
        <v>45.6</v>
      </c>
      <c r="J619" t="str">
        <f t="shared" si="130"/>
        <v/>
      </c>
      <c r="K619" t="e">
        <f t="shared" si="127"/>
        <v>#N/A</v>
      </c>
      <c r="L619" t="str">
        <f t="shared" si="131"/>
        <v/>
      </c>
      <c r="M619" t="str">
        <f t="shared" si="132"/>
        <v/>
      </c>
      <c r="N619" t="e">
        <f t="shared" si="128"/>
        <v>#N/A</v>
      </c>
      <c r="P619">
        <f t="shared" si="133"/>
        <v>1</v>
      </c>
      <c r="Q619" t="str">
        <f t="shared" ca="1" si="134"/>
        <v/>
      </c>
      <c r="R619" t="str">
        <f t="shared" ca="1" si="135"/>
        <v/>
      </c>
      <c r="T619">
        <f t="shared" si="136"/>
        <v>0</v>
      </c>
      <c r="V619">
        <v>1</v>
      </c>
      <c r="W619" t="str">
        <f t="shared" si="126"/>
        <v/>
      </c>
    </row>
    <row r="620" spans="1:23" outlineLevel="2" x14ac:dyDescent="0.3">
      <c r="A620">
        <v>44</v>
      </c>
      <c r="I620">
        <f t="shared" si="129"/>
        <v>44</v>
      </c>
      <c r="J620" t="str">
        <f t="shared" si="130"/>
        <v/>
      </c>
      <c r="K620" t="e">
        <f t="shared" si="127"/>
        <v>#N/A</v>
      </c>
      <c r="L620" t="str">
        <f t="shared" si="131"/>
        <v/>
      </c>
      <c r="M620" t="str">
        <f t="shared" si="132"/>
        <v/>
      </c>
      <c r="N620" t="e">
        <f t="shared" si="128"/>
        <v>#N/A</v>
      </c>
      <c r="P620">
        <f t="shared" si="133"/>
        <v>1</v>
      </c>
      <c r="Q620" t="str">
        <f t="shared" ca="1" si="134"/>
        <v/>
      </c>
      <c r="R620" t="str">
        <f t="shared" ca="1" si="135"/>
        <v/>
      </c>
      <c r="T620">
        <f t="shared" si="136"/>
        <v>0</v>
      </c>
      <c r="V620">
        <v>1</v>
      </c>
      <c r="W620" t="str">
        <f t="shared" si="126"/>
        <v/>
      </c>
    </row>
    <row r="621" spans="1:23" outlineLevel="2" x14ac:dyDescent="0.3">
      <c r="A621">
        <v>41.8</v>
      </c>
      <c r="I621">
        <f t="shared" si="129"/>
        <v>41.8</v>
      </c>
      <c r="J621" t="str">
        <f t="shared" si="130"/>
        <v/>
      </c>
      <c r="K621" t="e">
        <f t="shared" si="127"/>
        <v>#N/A</v>
      </c>
      <c r="L621" t="str">
        <f t="shared" si="131"/>
        <v/>
      </c>
      <c r="M621" t="str">
        <f t="shared" si="132"/>
        <v/>
      </c>
      <c r="N621" t="e">
        <f t="shared" si="128"/>
        <v>#N/A</v>
      </c>
      <c r="P621">
        <f t="shared" si="133"/>
        <v>1</v>
      </c>
      <c r="Q621" t="str">
        <f t="shared" ca="1" si="134"/>
        <v/>
      </c>
      <c r="R621" t="str">
        <f t="shared" ca="1" si="135"/>
        <v/>
      </c>
      <c r="T621">
        <f t="shared" si="136"/>
        <v>0</v>
      </c>
      <c r="V621">
        <v>1</v>
      </c>
      <c r="W621" t="str">
        <f t="shared" si="126"/>
        <v/>
      </c>
    </row>
    <row r="622" spans="1:23" outlineLevel="2" x14ac:dyDescent="0.3">
      <c r="A622">
        <v>39.090000000000003</v>
      </c>
      <c r="I622">
        <f t="shared" si="129"/>
        <v>39.090000000000003</v>
      </c>
      <c r="J622" t="str">
        <f t="shared" si="130"/>
        <v/>
      </c>
      <c r="K622" t="e">
        <f t="shared" si="127"/>
        <v>#N/A</v>
      </c>
      <c r="L622" t="str">
        <f t="shared" si="131"/>
        <v/>
      </c>
      <c r="M622" t="str">
        <f t="shared" si="132"/>
        <v/>
      </c>
      <c r="N622" t="e">
        <f t="shared" si="128"/>
        <v>#N/A</v>
      </c>
      <c r="P622">
        <f t="shared" si="133"/>
        <v>1</v>
      </c>
      <c r="Q622" t="str">
        <f t="shared" ca="1" si="134"/>
        <v/>
      </c>
      <c r="R622" t="str">
        <f t="shared" ca="1" si="135"/>
        <v/>
      </c>
      <c r="T622">
        <f t="shared" si="136"/>
        <v>0</v>
      </c>
      <c r="V622">
        <v>1</v>
      </c>
      <c r="W622" t="str">
        <f t="shared" si="126"/>
        <v/>
      </c>
    </row>
    <row r="623" spans="1:23" outlineLevel="2" x14ac:dyDescent="0.3">
      <c r="A623">
        <v>36.19</v>
      </c>
      <c r="I623">
        <f t="shared" si="129"/>
        <v>36.19</v>
      </c>
      <c r="J623" t="str">
        <f t="shared" si="130"/>
        <v/>
      </c>
      <c r="K623" t="e">
        <f t="shared" si="127"/>
        <v>#N/A</v>
      </c>
      <c r="L623" t="str">
        <f t="shared" si="131"/>
        <v/>
      </c>
      <c r="M623" t="str">
        <f t="shared" si="132"/>
        <v/>
      </c>
      <c r="N623" t="e">
        <f t="shared" si="128"/>
        <v>#N/A</v>
      </c>
      <c r="P623">
        <f t="shared" si="133"/>
        <v>1</v>
      </c>
      <c r="Q623" t="str">
        <f t="shared" ca="1" si="134"/>
        <v/>
      </c>
      <c r="R623" t="str">
        <f t="shared" ca="1" si="135"/>
        <v/>
      </c>
      <c r="T623">
        <f t="shared" si="136"/>
        <v>0</v>
      </c>
      <c r="V623">
        <v>1</v>
      </c>
      <c r="W623" t="str">
        <f t="shared" si="126"/>
        <v/>
      </c>
    </row>
    <row r="624" spans="1:23" outlineLevel="2" x14ac:dyDescent="0.3">
      <c r="A624">
        <v>33.1</v>
      </c>
      <c r="I624">
        <f t="shared" si="129"/>
        <v>33.1</v>
      </c>
      <c r="J624" t="str">
        <f t="shared" si="130"/>
        <v/>
      </c>
      <c r="K624" t="e">
        <f t="shared" si="127"/>
        <v>#N/A</v>
      </c>
      <c r="L624" t="str">
        <f t="shared" si="131"/>
        <v/>
      </c>
      <c r="M624" t="str">
        <f t="shared" si="132"/>
        <v/>
      </c>
      <c r="N624" t="e">
        <f t="shared" si="128"/>
        <v>#N/A</v>
      </c>
      <c r="P624">
        <f t="shared" si="133"/>
        <v>1</v>
      </c>
      <c r="Q624" t="str">
        <f t="shared" ca="1" si="134"/>
        <v/>
      </c>
      <c r="R624" t="str">
        <f t="shared" ca="1" si="135"/>
        <v/>
      </c>
      <c r="T624">
        <f t="shared" si="136"/>
        <v>0</v>
      </c>
      <c r="V624">
        <v>1</v>
      </c>
      <c r="W624" t="str">
        <f t="shared" si="126"/>
        <v/>
      </c>
    </row>
    <row r="625" spans="1:23" outlineLevel="2" x14ac:dyDescent="0.3">
      <c r="A625">
        <v>29.26</v>
      </c>
      <c r="I625">
        <f t="shared" si="129"/>
        <v>29.26</v>
      </c>
      <c r="J625" t="str">
        <f t="shared" si="130"/>
        <v/>
      </c>
      <c r="K625" t="e">
        <f t="shared" si="127"/>
        <v>#N/A</v>
      </c>
      <c r="L625" t="str">
        <f t="shared" si="131"/>
        <v/>
      </c>
      <c r="M625" t="str">
        <f t="shared" si="132"/>
        <v/>
      </c>
      <c r="N625" t="e">
        <f t="shared" si="128"/>
        <v>#N/A</v>
      </c>
      <c r="P625">
        <f t="shared" si="133"/>
        <v>1</v>
      </c>
      <c r="Q625" t="str">
        <f t="shared" ca="1" si="134"/>
        <v/>
      </c>
      <c r="R625" t="str">
        <f t="shared" ca="1" si="135"/>
        <v/>
      </c>
      <c r="T625">
        <f t="shared" si="136"/>
        <v>0</v>
      </c>
      <c r="V625">
        <v>1</v>
      </c>
      <c r="W625" t="str">
        <f t="shared" si="126"/>
        <v/>
      </c>
    </row>
    <row r="626" spans="1:23" outlineLevel="2" x14ac:dyDescent="0.3">
      <c r="A626">
        <v>25.65</v>
      </c>
      <c r="I626">
        <f t="shared" si="129"/>
        <v>25.65</v>
      </c>
      <c r="J626" t="str">
        <f t="shared" si="130"/>
        <v/>
      </c>
      <c r="K626" t="e">
        <f t="shared" si="127"/>
        <v>#N/A</v>
      </c>
      <c r="L626" t="str">
        <f t="shared" si="131"/>
        <v/>
      </c>
      <c r="M626" t="str">
        <f t="shared" si="132"/>
        <v/>
      </c>
      <c r="N626" t="e">
        <f t="shared" si="128"/>
        <v>#N/A</v>
      </c>
      <c r="P626">
        <f t="shared" si="133"/>
        <v>1</v>
      </c>
      <c r="Q626" t="str">
        <f t="shared" ca="1" si="134"/>
        <v/>
      </c>
      <c r="R626" t="str">
        <f t="shared" ca="1" si="135"/>
        <v/>
      </c>
      <c r="T626">
        <f t="shared" si="136"/>
        <v>0</v>
      </c>
      <c r="V626">
        <v>1</v>
      </c>
      <c r="W626" t="str">
        <f t="shared" si="126"/>
        <v/>
      </c>
    </row>
    <row r="627" spans="1:23" outlineLevel="2" x14ac:dyDescent="0.3">
      <c r="A627">
        <v>23.2</v>
      </c>
      <c r="I627">
        <f t="shared" si="129"/>
        <v>23.2</v>
      </c>
      <c r="J627" t="str">
        <f t="shared" si="130"/>
        <v/>
      </c>
      <c r="K627" t="e">
        <f t="shared" si="127"/>
        <v>#N/A</v>
      </c>
      <c r="L627" t="str">
        <f t="shared" si="131"/>
        <v/>
      </c>
      <c r="M627" t="str">
        <f t="shared" si="132"/>
        <v/>
      </c>
      <c r="N627" t="e">
        <f t="shared" si="128"/>
        <v>#N/A</v>
      </c>
      <c r="P627">
        <f t="shared" si="133"/>
        <v>1</v>
      </c>
      <c r="Q627" t="str">
        <f t="shared" ca="1" si="134"/>
        <v/>
      </c>
      <c r="R627" t="str">
        <f t="shared" ca="1" si="135"/>
        <v/>
      </c>
      <c r="T627">
        <f t="shared" si="136"/>
        <v>0</v>
      </c>
      <c r="V627">
        <v>1</v>
      </c>
      <c r="W627" t="str">
        <f t="shared" si="126"/>
        <v/>
      </c>
    </row>
    <row r="628" spans="1:23" outlineLevel="2" x14ac:dyDescent="0.3">
      <c r="A628">
        <v>20.61</v>
      </c>
      <c r="I628">
        <f t="shared" si="129"/>
        <v>20.61</v>
      </c>
      <c r="J628" t="str">
        <f t="shared" si="130"/>
        <v/>
      </c>
      <c r="K628" t="e">
        <f t="shared" si="127"/>
        <v>#N/A</v>
      </c>
      <c r="L628" t="str">
        <f t="shared" si="131"/>
        <v/>
      </c>
      <c r="M628" t="str">
        <f t="shared" si="132"/>
        <v/>
      </c>
      <c r="N628" t="e">
        <f t="shared" si="128"/>
        <v>#N/A</v>
      </c>
      <c r="P628">
        <f t="shared" si="133"/>
        <v>1</v>
      </c>
      <c r="Q628" t="str">
        <f t="shared" ca="1" si="134"/>
        <v/>
      </c>
      <c r="R628" t="str">
        <f t="shared" ca="1" si="135"/>
        <v/>
      </c>
      <c r="T628">
        <f t="shared" si="136"/>
        <v>0</v>
      </c>
      <c r="V628">
        <v>1</v>
      </c>
      <c r="W628" t="str">
        <f t="shared" si="126"/>
        <v/>
      </c>
    </row>
    <row r="629" spans="1:23" outlineLevel="2" x14ac:dyDescent="0.3">
      <c r="A629">
        <v>18.5</v>
      </c>
      <c r="I629">
        <f t="shared" si="129"/>
        <v>18.5</v>
      </c>
      <c r="J629" t="str">
        <f t="shared" si="130"/>
        <v/>
      </c>
      <c r="K629" t="e">
        <f t="shared" si="127"/>
        <v>#N/A</v>
      </c>
      <c r="L629" t="str">
        <f t="shared" si="131"/>
        <v/>
      </c>
      <c r="M629" t="str">
        <f t="shared" si="132"/>
        <v/>
      </c>
      <c r="N629" t="e">
        <f t="shared" si="128"/>
        <v>#N/A</v>
      </c>
      <c r="P629">
        <f t="shared" si="133"/>
        <v>1</v>
      </c>
      <c r="Q629" t="str">
        <f t="shared" ca="1" si="134"/>
        <v/>
      </c>
      <c r="R629" t="str">
        <f t="shared" ca="1" si="135"/>
        <v/>
      </c>
      <c r="T629">
        <f t="shared" si="136"/>
        <v>0</v>
      </c>
      <c r="V629">
        <v>1</v>
      </c>
      <c r="W629" t="str">
        <f t="shared" si="126"/>
        <v/>
      </c>
    </row>
    <row r="630" spans="1:23" outlineLevel="2" x14ac:dyDescent="0.3">
      <c r="A630">
        <v>18.22</v>
      </c>
      <c r="I630">
        <f t="shared" si="129"/>
        <v>18.22</v>
      </c>
      <c r="J630" t="str">
        <f t="shared" si="130"/>
        <v/>
      </c>
      <c r="K630" t="e">
        <f t="shared" si="127"/>
        <v>#N/A</v>
      </c>
      <c r="L630" t="str">
        <f t="shared" si="131"/>
        <v/>
      </c>
      <c r="M630" t="str">
        <f t="shared" si="132"/>
        <v/>
      </c>
      <c r="N630" t="e">
        <f t="shared" si="128"/>
        <v>#N/A</v>
      </c>
      <c r="P630">
        <f t="shared" si="133"/>
        <v>1</v>
      </c>
      <c r="Q630" t="str">
        <f t="shared" ca="1" si="134"/>
        <v/>
      </c>
      <c r="R630" t="str">
        <f t="shared" ca="1" si="135"/>
        <v/>
      </c>
      <c r="T630">
        <f t="shared" si="136"/>
        <v>0</v>
      </c>
      <c r="V630">
        <v>1</v>
      </c>
      <c r="W630" t="str">
        <f t="shared" si="126"/>
        <v/>
      </c>
    </row>
    <row r="631" spans="1:23" outlineLevel="2" x14ac:dyDescent="0.3">
      <c r="A631">
        <v>17.899999999999999</v>
      </c>
      <c r="I631">
        <f t="shared" si="129"/>
        <v>17.899999999999999</v>
      </c>
      <c r="J631" t="str">
        <f t="shared" si="130"/>
        <v/>
      </c>
      <c r="K631" t="e">
        <f t="shared" si="127"/>
        <v>#N/A</v>
      </c>
      <c r="L631" t="str">
        <f t="shared" si="131"/>
        <v/>
      </c>
      <c r="M631" t="str">
        <f t="shared" si="132"/>
        <v/>
      </c>
      <c r="N631" t="e">
        <f t="shared" si="128"/>
        <v>#N/A</v>
      </c>
      <c r="P631">
        <f t="shared" si="133"/>
        <v>1</v>
      </c>
      <c r="Q631" t="str">
        <f t="shared" ca="1" si="134"/>
        <v/>
      </c>
      <c r="R631" t="str">
        <f t="shared" ca="1" si="135"/>
        <v/>
      </c>
      <c r="T631">
        <f t="shared" si="136"/>
        <v>0</v>
      </c>
      <c r="V631">
        <v>1</v>
      </c>
      <c r="W631" t="str">
        <f t="shared" si="126"/>
        <v/>
      </c>
    </row>
    <row r="632" spans="1:23" outlineLevel="2" x14ac:dyDescent="0.3">
      <c r="A632">
        <v>15.89</v>
      </c>
      <c r="I632">
        <f t="shared" si="129"/>
        <v>15.89</v>
      </c>
      <c r="J632" t="str">
        <f>IF(AND(I633&gt;I632,I633&gt;I635,I633&gt;$D$5),I633,"")</f>
        <v/>
      </c>
      <c r="K632" t="e">
        <f t="shared" si="127"/>
        <v>#N/A</v>
      </c>
      <c r="L632" t="str">
        <f t="shared" si="131"/>
        <v/>
      </c>
      <c r="M632" t="str">
        <f>IF(AND(L633&lt;L632,L633&lt;L635,L633&lt;$G$5),L633,"")</f>
        <v/>
      </c>
      <c r="N632" t="e">
        <f t="shared" si="128"/>
        <v>#N/A</v>
      </c>
      <c r="P632">
        <f t="shared" si="133"/>
        <v>1</v>
      </c>
      <c r="Q632" t="str">
        <f t="shared" ca="1" si="134"/>
        <v/>
      </c>
      <c r="R632" t="str">
        <f t="shared" ca="1" si="135"/>
        <v/>
      </c>
      <c r="T632">
        <f t="shared" si="136"/>
        <v>0</v>
      </c>
      <c r="V632">
        <v>1</v>
      </c>
      <c r="W632" t="str">
        <f t="shared" si="126"/>
        <v/>
      </c>
    </row>
    <row r="633" spans="1:23" outlineLevel="2" x14ac:dyDescent="0.3">
      <c r="A633">
        <v>13.11</v>
      </c>
      <c r="I633">
        <f t="shared" si="129"/>
        <v>13.11</v>
      </c>
      <c r="J633" t="str">
        <f>IF(AND(I635&gt;I633,I635&gt;I636,I635&gt;$D$5),I635,"")</f>
        <v/>
      </c>
      <c r="K633" t="e">
        <f t="shared" si="127"/>
        <v>#N/A</v>
      </c>
      <c r="L633" t="str">
        <f t="shared" si="131"/>
        <v/>
      </c>
      <c r="M633" t="str">
        <f>IF(AND(L635&lt;L633,L635&lt;L636,L635&lt;$G$5),L635,"")</f>
        <v/>
      </c>
      <c r="N633" t="e">
        <f t="shared" si="128"/>
        <v>#N/A</v>
      </c>
      <c r="P633">
        <f t="shared" si="133"/>
        <v>1</v>
      </c>
      <c r="Q633">
        <f ca="1">IF(AND(A635&gt;=0,A633&lt;0),CELL("ROW",A635),IF(AND(A635&lt;0,A633&gt;=0),CELL("ROW",A635),""))</f>
        <v>635</v>
      </c>
      <c r="R633" t="str">
        <f t="shared" ca="1" si="135"/>
        <v>635</v>
      </c>
      <c r="T633">
        <f>S635-S633</f>
        <v>0</v>
      </c>
      <c r="V633">
        <v>1</v>
      </c>
      <c r="W633" t="str">
        <f t="shared" si="126"/>
        <v/>
      </c>
    </row>
    <row r="634" spans="1:23" outlineLevel="1" x14ac:dyDescent="0.3">
      <c r="O634" s="1" t="s">
        <v>26</v>
      </c>
      <c r="P634">
        <f>SUBTOTAL(3,P595:P633)</f>
        <v>39</v>
      </c>
      <c r="V634">
        <v>39</v>
      </c>
      <c r="W634" t="str">
        <f t="shared" si="126"/>
        <v/>
      </c>
    </row>
    <row r="635" spans="1:23" outlineLevel="2" x14ac:dyDescent="0.3">
      <c r="A635">
        <v>-14.69</v>
      </c>
      <c r="I635" t="str">
        <f t="shared" si="129"/>
        <v/>
      </c>
      <c r="J635" t="str">
        <f t="shared" si="130"/>
        <v/>
      </c>
      <c r="K635" t="e">
        <f t="shared" ref="K635:K666" si="137">MATCH(J635,$A$1:$A$10041,0)</f>
        <v>#N/A</v>
      </c>
      <c r="L635">
        <f t="shared" si="131"/>
        <v>-14.69</v>
      </c>
      <c r="M635" t="str">
        <f t="shared" si="132"/>
        <v/>
      </c>
      <c r="N635" t="e">
        <f t="shared" ref="N635:N666" si="138">MATCH(M635,$A$1:$A$10041,0)</f>
        <v>#N/A</v>
      </c>
      <c r="P635">
        <f t="shared" si="133"/>
        <v>2</v>
      </c>
      <c r="Q635" t="str">
        <f t="shared" ca="1" si="134"/>
        <v/>
      </c>
      <c r="R635" t="str">
        <f t="shared" ca="1" si="135"/>
        <v/>
      </c>
      <c r="T635">
        <f t="shared" si="136"/>
        <v>0</v>
      </c>
      <c r="V635">
        <v>2</v>
      </c>
      <c r="W635" t="str">
        <f t="shared" si="126"/>
        <v/>
      </c>
    </row>
    <row r="636" spans="1:23" outlineLevel="2" x14ac:dyDescent="0.3">
      <c r="A636">
        <v>-18.899999999999999</v>
      </c>
      <c r="I636" t="str">
        <f t="shared" si="129"/>
        <v/>
      </c>
      <c r="J636" t="str">
        <f t="shared" si="130"/>
        <v/>
      </c>
      <c r="K636" t="e">
        <f t="shared" si="137"/>
        <v>#N/A</v>
      </c>
      <c r="L636">
        <f t="shared" si="131"/>
        <v>-18.899999999999999</v>
      </c>
      <c r="M636" t="str">
        <f t="shared" si="132"/>
        <v/>
      </c>
      <c r="N636" t="e">
        <f t="shared" si="138"/>
        <v>#N/A</v>
      </c>
      <c r="P636">
        <f t="shared" si="133"/>
        <v>2</v>
      </c>
      <c r="Q636" t="str">
        <f t="shared" ca="1" si="134"/>
        <v/>
      </c>
      <c r="R636" t="str">
        <f t="shared" ca="1" si="135"/>
        <v/>
      </c>
      <c r="T636">
        <f t="shared" si="136"/>
        <v>0</v>
      </c>
      <c r="V636">
        <v>2</v>
      </c>
      <c r="W636" t="str">
        <f t="shared" si="126"/>
        <v/>
      </c>
    </row>
    <row r="637" spans="1:23" outlineLevel="2" x14ac:dyDescent="0.3">
      <c r="A637">
        <v>-29.34</v>
      </c>
      <c r="I637" t="str">
        <f t="shared" si="129"/>
        <v/>
      </c>
      <c r="J637" t="str">
        <f t="shared" si="130"/>
        <v/>
      </c>
      <c r="K637" t="e">
        <f t="shared" si="137"/>
        <v>#N/A</v>
      </c>
      <c r="L637">
        <f t="shared" si="131"/>
        <v>-29.34</v>
      </c>
      <c r="M637" t="str">
        <f t="shared" si="132"/>
        <v/>
      </c>
      <c r="N637" t="e">
        <f t="shared" si="138"/>
        <v>#N/A</v>
      </c>
      <c r="P637">
        <f t="shared" si="133"/>
        <v>2</v>
      </c>
      <c r="Q637" t="str">
        <f t="shared" ca="1" si="134"/>
        <v/>
      </c>
      <c r="R637" t="str">
        <f t="shared" ca="1" si="135"/>
        <v/>
      </c>
      <c r="T637">
        <f t="shared" si="136"/>
        <v>0</v>
      </c>
      <c r="V637">
        <v>2</v>
      </c>
      <c r="W637" t="str">
        <f t="shared" si="126"/>
        <v/>
      </c>
    </row>
    <row r="638" spans="1:23" outlineLevel="2" x14ac:dyDescent="0.3">
      <c r="A638">
        <v>-45.88</v>
      </c>
      <c r="I638" t="str">
        <f t="shared" si="129"/>
        <v/>
      </c>
      <c r="J638" t="str">
        <f t="shared" si="130"/>
        <v/>
      </c>
      <c r="K638" t="e">
        <f t="shared" si="137"/>
        <v>#N/A</v>
      </c>
      <c r="L638">
        <f t="shared" si="131"/>
        <v>-45.88</v>
      </c>
      <c r="M638" t="str">
        <f t="shared" si="132"/>
        <v/>
      </c>
      <c r="N638" t="e">
        <f t="shared" si="138"/>
        <v>#N/A</v>
      </c>
      <c r="P638">
        <f t="shared" si="133"/>
        <v>2</v>
      </c>
      <c r="Q638" t="str">
        <f t="shared" ca="1" si="134"/>
        <v/>
      </c>
      <c r="R638" t="str">
        <f t="shared" ca="1" si="135"/>
        <v/>
      </c>
      <c r="T638">
        <f t="shared" si="136"/>
        <v>0</v>
      </c>
      <c r="V638">
        <v>2</v>
      </c>
      <c r="W638" t="str">
        <f t="shared" si="126"/>
        <v/>
      </c>
    </row>
    <row r="639" spans="1:23" outlineLevel="2" x14ac:dyDescent="0.3">
      <c r="A639">
        <v>-59.19</v>
      </c>
      <c r="I639" t="str">
        <f t="shared" si="129"/>
        <v/>
      </c>
      <c r="J639" t="str">
        <f t="shared" si="130"/>
        <v/>
      </c>
      <c r="K639" t="e">
        <f t="shared" si="137"/>
        <v>#N/A</v>
      </c>
      <c r="L639">
        <f t="shared" si="131"/>
        <v>-59.19</v>
      </c>
      <c r="M639" t="str">
        <f t="shared" si="132"/>
        <v/>
      </c>
      <c r="N639" t="e">
        <f t="shared" si="138"/>
        <v>#N/A</v>
      </c>
      <c r="P639">
        <f t="shared" si="133"/>
        <v>2</v>
      </c>
      <c r="Q639" t="str">
        <f t="shared" ca="1" si="134"/>
        <v/>
      </c>
      <c r="R639" t="str">
        <f t="shared" ca="1" si="135"/>
        <v/>
      </c>
      <c r="T639">
        <f t="shared" si="136"/>
        <v>0</v>
      </c>
      <c r="V639">
        <v>2</v>
      </c>
      <c r="W639" t="str">
        <f t="shared" si="126"/>
        <v/>
      </c>
    </row>
    <row r="640" spans="1:23" outlineLevel="2" x14ac:dyDescent="0.3">
      <c r="A640">
        <v>-61.6</v>
      </c>
      <c r="I640" t="str">
        <f t="shared" si="129"/>
        <v/>
      </c>
      <c r="J640" t="str">
        <f t="shared" si="130"/>
        <v/>
      </c>
      <c r="K640" t="e">
        <f t="shared" si="137"/>
        <v>#N/A</v>
      </c>
      <c r="L640">
        <f t="shared" si="131"/>
        <v>-61.6</v>
      </c>
      <c r="M640" t="str">
        <f t="shared" si="132"/>
        <v/>
      </c>
      <c r="N640" t="e">
        <f t="shared" si="138"/>
        <v>#N/A</v>
      </c>
      <c r="P640">
        <f t="shared" si="133"/>
        <v>2</v>
      </c>
      <c r="Q640" t="str">
        <f t="shared" ca="1" si="134"/>
        <v/>
      </c>
      <c r="R640" t="str">
        <f t="shared" ca="1" si="135"/>
        <v/>
      </c>
      <c r="T640">
        <f t="shared" si="136"/>
        <v>0</v>
      </c>
      <c r="V640">
        <v>2</v>
      </c>
      <c r="W640" t="str">
        <f t="shared" si="126"/>
        <v/>
      </c>
    </row>
    <row r="641" spans="1:23" outlineLevel="2" x14ac:dyDescent="0.3">
      <c r="A641">
        <v>-57.01</v>
      </c>
      <c r="I641" t="str">
        <f t="shared" si="129"/>
        <v/>
      </c>
      <c r="J641" t="str">
        <f t="shared" si="130"/>
        <v/>
      </c>
      <c r="K641" t="e">
        <f t="shared" si="137"/>
        <v>#N/A</v>
      </c>
      <c r="L641">
        <f t="shared" si="131"/>
        <v>-57.01</v>
      </c>
      <c r="M641" t="str">
        <f t="shared" si="132"/>
        <v/>
      </c>
      <c r="N641" t="e">
        <f t="shared" si="138"/>
        <v>#N/A</v>
      </c>
      <c r="P641">
        <f t="shared" si="133"/>
        <v>2</v>
      </c>
      <c r="Q641" t="str">
        <f t="shared" ca="1" si="134"/>
        <v/>
      </c>
      <c r="R641" t="str">
        <f t="shared" ca="1" si="135"/>
        <v/>
      </c>
      <c r="T641">
        <f t="shared" si="136"/>
        <v>0</v>
      </c>
      <c r="V641">
        <v>2</v>
      </c>
      <c r="W641" t="str">
        <f t="shared" si="126"/>
        <v/>
      </c>
    </row>
    <row r="642" spans="1:23" outlineLevel="2" x14ac:dyDescent="0.3">
      <c r="A642">
        <v>-52.3</v>
      </c>
      <c r="I642" t="str">
        <f t="shared" si="129"/>
        <v/>
      </c>
      <c r="J642" t="str">
        <f t="shared" si="130"/>
        <v/>
      </c>
      <c r="K642" t="e">
        <f t="shared" si="137"/>
        <v>#N/A</v>
      </c>
      <c r="L642">
        <f t="shared" si="131"/>
        <v>-52.3</v>
      </c>
      <c r="M642" t="str">
        <f t="shared" si="132"/>
        <v/>
      </c>
      <c r="N642" t="e">
        <f t="shared" si="138"/>
        <v>#N/A</v>
      </c>
      <c r="P642">
        <f t="shared" si="133"/>
        <v>2</v>
      </c>
      <c r="Q642" t="str">
        <f t="shared" ca="1" si="134"/>
        <v/>
      </c>
      <c r="R642" t="str">
        <f t="shared" ca="1" si="135"/>
        <v/>
      </c>
      <c r="T642">
        <f t="shared" si="136"/>
        <v>0</v>
      </c>
      <c r="V642">
        <v>2</v>
      </c>
      <c r="W642" t="str">
        <f t="shared" si="126"/>
        <v/>
      </c>
    </row>
    <row r="643" spans="1:23" outlineLevel="2" x14ac:dyDescent="0.3">
      <c r="A643">
        <v>-47.53</v>
      </c>
      <c r="I643" t="str">
        <f t="shared" si="129"/>
        <v/>
      </c>
      <c r="J643" t="str">
        <f t="shared" si="130"/>
        <v/>
      </c>
      <c r="K643" t="e">
        <f t="shared" si="137"/>
        <v>#N/A</v>
      </c>
      <c r="L643">
        <f t="shared" si="131"/>
        <v>-47.53</v>
      </c>
      <c r="M643" t="str">
        <f t="shared" si="132"/>
        <v/>
      </c>
      <c r="N643" t="e">
        <f t="shared" si="138"/>
        <v>#N/A</v>
      </c>
      <c r="P643">
        <f t="shared" si="133"/>
        <v>2</v>
      </c>
      <c r="Q643" t="str">
        <f t="shared" ca="1" si="134"/>
        <v/>
      </c>
      <c r="R643" t="str">
        <f t="shared" ca="1" si="135"/>
        <v/>
      </c>
      <c r="T643">
        <f t="shared" si="136"/>
        <v>0</v>
      </c>
      <c r="V643">
        <v>2</v>
      </c>
      <c r="W643" t="str">
        <f t="shared" ref="W643:W706" si="139">IF(AND(V643&gt;2,V643&lt;20),V643,"")</f>
        <v/>
      </c>
    </row>
    <row r="644" spans="1:23" outlineLevel="2" x14ac:dyDescent="0.3">
      <c r="A644">
        <v>-40.880000000000003</v>
      </c>
      <c r="I644" t="str">
        <f t="shared" si="129"/>
        <v/>
      </c>
      <c r="J644" t="str">
        <f t="shared" si="130"/>
        <v/>
      </c>
      <c r="K644" t="e">
        <f t="shared" si="137"/>
        <v>#N/A</v>
      </c>
      <c r="L644">
        <f t="shared" si="131"/>
        <v>-40.880000000000003</v>
      </c>
      <c r="M644" t="str">
        <f t="shared" si="132"/>
        <v/>
      </c>
      <c r="N644" t="e">
        <f t="shared" si="138"/>
        <v>#N/A</v>
      </c>
      <c r="P644">
        <f t="shared" si="133"/>
        <v>2</v>
      </c>
      <c r="Q644" t="str">
        <f t="shared" ca="1" si="134"/>
        <v/>
      </c>
      <c r="R644" t="str">
        <f t="shared" ca="1" si="135"/>
        <v/>
      </c>
      <c r="T644">
        <f t="shared" si="136"/>
        <v>0</v>
      </c>
      <c r="V644">
        <v>2</v>
      </c>
      <c r="W644" t="str">
        <f t="shared" si="139"/>
        <v/>
      </c>
    </row>
    <row r="645" spans="1:23" outlineLevel="2" x14ac:dyDescent="0.3">
      <c r="A645">
        <v>-34.090000000000003</v>
      </c>
      <c r="I645" t="str">
        <f t="shared" si="129"/>
        <v/>
      </c>
      <c r="J645" t="str">
        <f t="shared" si="130"/>
        <v/>
      </c>
      <c r="K645" t="e">
        <f t="shared" si="137"/>
        <v>#N/A</v>
      </c>
      <c r="L645">
        <f t="shared" si="131"/>
        <v>-34.090000000000003</v>
      </c>
      <c r="M645" t="str">
        <f t="shared" si="132"/>
        <v/>
      </c>
      <c r="N645" t="e">
        <f t="shared" si="138"/>
        <v>#N/A</v>
      </c>
      <c r="P645">
        <f t="shared" si="133"/>
        <v>2</v>
      </c>
      <c r="Q645" t="str">
        <f t="shared" ca="1" si="134"/>
        <v/>
      </c>
      <c r="R645" t="str">
        <f t="shared" ca="1" si="135"/>
        <v/>
      </c>
      <c r="T645">
        <f t="shared" si="136"/>
        <v>0</v>
      </c>
      <c r="V645">
        <v>2</v>
      </c>
      <c r="W645" t="str">
        <f t="shared" si="139"/>
        <v/>
      </c>
    </row>
    <row r="646" spans="1:23" outlineLevel="2" x14ac:dyDescent="0.3">
      <c r="A646">
        <v>-29.25</v>
      </c>
      <c r="I646" t="str">
        <f t="shared" si="129"/>
        <v/>
      </c>
      <c r="J646" t="str">
        <f t="shared" si="130"/>
        <v/>
      </c>
      <c r="K646" t="e">
        <f t="shared" si="137"/>
        <v>#N/A</v>
      </c>
      <c r="L646">
        <f t="shared" si="131"/>
        <v>-29.25</v>
      </c>
      <c r="M646" t="str">
        <f t="shared" si="132"/>
        <v/>
      </c>
      <c r="N646" t="e">
        <f t="shared" si="138"/>
        <v>#N/A</v>
      </c>
      <c r="P646">
        <f t="shared" si="133"/>
        <v>2</v>
      </c>
      <c r="Q646" t="str">
        <f t="shared" ca="1" si="134"/>
        <v/>
      </c>
      <c r="R646" t="str">
        <f t="shared" ca="1" si="135"/>
        <v/>
      </c>
      <c r="T646">
        <f t="shared" si="136"/>
        <v>0</v>
      </c>
      <c r="V646">
        <v>2</v>
      </c>
      <c r="W646" t="str">
        <f t="shared" si="139"/>
        <v/>
      </c>
    </row>
    <row r="647" spans="1:23" outlineLevel="2" x14ac:dyDescent="0.3">
      <c r="A647">
        <v>-27.05</v>
      </c>
      <c r="I647" t="str">
        <f t="shared" si="129"/>
        <v/>
      </c>
      <c r="J647" t="str">
        <f t="shared" si="130"/>
        <v/>
      </c>
      <c r="K647" t="e">
        <f t="shared" si="137"/>
        <v>#N/A</v>
      </c>
      <c r="L647">
        <f t="shared" si="131"/>
        <v>-27.05</v>
      </c>
      <c r="M647" t="str">
        <f t="shared" si="132"/>
        <v/>
      </c>
      <c r="N647" t="e">
        <f t="shared" si="138"/>
        <v>#N/A</v>
      </c>
      <c r="P647">
        <f t="shared" si="133"/>
        <v>2</v>
      </c>
      <c r="Q647" t="str">
        <f t="shared" ca="1" si="134"/>
        <v/>
      </c>
      <c r="R647" t="str">
        <f t="shared" ca="1" si="135"/>
        <v/>
      </c>
      <c r="T647">
        <f t="shared" si="136"/>
        <v>0</v>
      </c>
      <c r="V647">
        <v>2</v>
      </c>
      <c r="W647" t="str">
        <f t="shared" si="139"/>
        <v/>
      </c>
    </row>
    <row r="648" spans="1:23" outlineLevel="2" x14ac:dyDescent="0.3">
      <c r="A648">
        <v>-26.1</v>
      </c>
      <c r="I648" t="str">
        <f t="shared" si="129"/>
        <v/>
      </c>
      <c r="J648" t="str">
        <f t="shared" si="130"/>
        <v/>
      </c>
      <c r="K648" t="e">
        <f t="shared" si="137"/>
        <v>#N/A</v>
      </c>
      <c r="L648">
        <f t="shared" si="131"/>
        <v>-26.1</v>
      </c>
      <c r="M648" t="str">
        <f t="shared" si="132"/>
        <v/>
      </c>
      <c r="N648" t="e">
        <f t="shared" si="138"/>
        <v>#N/A</v>
      </c>
      <c r="P648">
        <f t="shared" si="133"/>
        <v>2</v>
      </c>
      <c r="Q648" t="str">
        <f t="shared" ca="1" si="134"/>
        <v/>
      </c>
      <c r="R648" t="str">
        <f t="shared" ca="1" si="135"/>
        <v/>
      </c>
      <c r="T648">
        <f t="shared" si="136"/>
        <v>0</v>
      </c>
      <c r="V648">
        <v>2</v>
      </c>
      <c r="W648" t="str">
        <f t="shared" si="139"/>
        <v/>
      </c>
    </row>
    <row r="649" spans="1:23" outlineLevel="2" x14ac:dyDescent="0.3">
      <c r="A649">
        <v>-24.43</v>
      </c>
      <c r="I649" t="str">
        <f t="shared" si="129"/>
        <v/>
      </c>
      <c r="J649" t="str">
        <f t="shared" si="130"/>
        <v/>
      </c>
      <c r="K649" t="e">
        <f t="shared" si="137"/>
        <v>#N/A</v>
      </c>
      <c r="L649">
        <f t="shared" si="131"/>
        <v>-24.43</v>
      </c>
      <c r="M649" t="str">
        <f t="shared" si="132"/>
        <v/>
      </c>
      <c r="N649" t="e">
        <f t="shared" si="138"/>
        <v>#N/A</v>
      </c>
      <c r="P649">
        <f t="shared" si="133"/>
        <v>2</v>
      </c>
      <c r="Q649" t="str">
        <f t="shared" ca="1" si="134"/>
        <v/>
      </c>
      <c r="R649" t="str">
        <f t="shared" ca="1" si="135"/>
        <v/>
      </c>
      <c r="T649">
        <f t="shared" si="136"/>
        <v>0</v>
      </c>
      <c r="V649">
        <v>2</v>
      </c>
      <c r="W649" t="str">
        <f t="shared" si="139"/>
        <v/>
      </c>
    </row>
    <row r="650" spans="1:23" outlineLevel="2" x14ac:dyDescent="0.3">
      <c r="A650">
        <v>-22.5</v>
      </c>
      <c r="I650" t="str">
        <f t="shared" si="129"/>
        <v/>
      </c>
      <c r="J650" t="str">
        <f t="shared" si="130"/>
        <v/>
      </c>
      <c r="K650" t="e">
        <f t="shared" si="137"/>
        <v>#N/A</v>
      </c>
      <c r="L650">
        <f t="shared" si="131"/>
        <v>-22.5</v>
      </c>
      <c r="M650" t="str">
        <f t="shared" si="132"/>
        <v/>
      </c>
      <c r="N650" t="e">
        <f t="shared" si="138"/>
        <v>#N/A</v>
      </c>
      <c r="P650">
        <f t="shared" si="133"/>
        <v>2</v>
      </c>
      <c r="Q650" t="str">
        <f t="shared" ca="1" si="134"/>
        <v/>
      </c>
      <c r="R650" t="str">
        <f t="shared" ca="1" si="135"/>
        <v/>
      </c>
      <c r="T650">
        <f t="shared" si="136"/>
        <v>0</v>
      </c>
      <c r="V650">
        <v>2</v>
      </c>
      <c r="W650" t="str">
        <f t="shared" si="139"/>
        <v/>
      </c>
    </row>
    <row r="651" spans="1:23" outlineLevel="2" x14ac:dyDescent="0.3">
      <c r="A651">
        <v>-21.94</v>
      </c>
      <c r="I651" t="str">
        <f t="shared" si="129"/>
        <v/>
      </c>
      <c r="J651" t="str">
        <f t="shared" si="130"/>
        <v/>
      </c>
      <c r="K651" t="e">
        <f t="shared" si="137"/>
        <v>#N/A</v>
      </c>
      <c r="L651">
        <f t="shared" si="131"/>
        <v>-21.94</v>
      </c>
      <c r="M651" t="str">
        <f t="shared" si="132"/>
        <v/>
      </c>
      <c r="N651" t="e">
        <f t="shared" si="138"/>
        <v>#N/A</v>
      </c>
      <c r="P651">
        <f t="shared" si="133"/>
        <v>2</v>
      </c>
      <c r="Q651" t="str">
        <f t="shared" ca="1" si="134"/>
        <v/>
      </c>
      <c r="R651" t="str">
        <f t="shared" ca="1" si="135"/>
        <v/>
      </c>
      <c r="T651">
        <f t="shared" si="136"/>
        <v>0</v>
      </c>
      <c r="V651">
        <v>2</v>
      </c>
      <c r="W651" t="str">
        <f t="shared" si="139"/>
        <v/>
      </c>
    </row>
    <row r="652" spans="1:23" outlineLevel="2" x14ac:dyDescent="0.3">
      <c r="A652">
        <v>-23.24</v>
      </c>
      <c r="I652" t="str">
        <f t="shared" si="129"/>
        <v/>
      </c>
      <c r="J652" t="str">
        <f t="shared" si="130"/>
        <v/>
      </c>
      <c r="K652" t="e">
        <f t="shared" si="137"/>
        <v>#N/A</v>
      </c>
      <c r="L652">
        <f t="shared" si="131"/>
        <v>-23.24</v>
      </c>
      <c r="M652" t="str">
        <f t="shared" si="132"/>
        <v/>
      </c>
      <c r="N652" t="e">
        <f t="shared" si="138"/>
        <v>#N/A</v>
      </c>
      <c r="P652">
        <f t="shared" si="133"/>
        <v>2</v>
      </c>
      <c r="Q652" t="str">
        <f t="shared" ca="1" si="134"/>
        <v/>
      </c>
      <c r="R652" t="str">
        <f t="shared" ca="1" si="135"/>
        <v/>
      </c>
      <c r="T652">
        <f t="shared" si="136"/>
        <v>0</v>
      </c>
      <c r="V652">
        <v>2</v>
      </c>
      <c r="W652" t="str">
        <f t="shared" si="139"/>
        <v/>
      </c>
    </row>
    <row r="653" spans="1:23" outlineLevel="2" x14ac:dyDescent="0.3">
      <c r="A653">
        <v>-26.48</v>
      </c>
      <c r="I653" t="str">
        <f t="shared" si="129"/>
        <v/>
      </c>
      <c r="J653" t="str">
        <f t="shared" si="130"/>
        <v/>
      </c>
      <c r="K653" t="e">
        <f t="shared" si="137"/>
        <v>#N/A</v>
      </c>
      <c r="L653">
        <f t="shared" si="131"/>
        <v>-26.48</v>
      </c>
      <c r="M653" t="str">
        <f t="shared" si="132"/>
        <v/>
      </c>
      <c r="N653" t="e">
        <f t="shared" si="138"/>
        <v>#N/A</v>
      </c>
      <c r="P653">
        <f t="shared" si="133"/>
        <v>2</v>
      </c>
      <c r="Q653" t="str">
        <f t="shared" ca="1" si="134"/>
        <v/>
      </c>
      <c r="R653" t="str">
        <f t="shared" ca="1" si="135"/>
        <v/>
      </c>
      <c r="T653">
        <f t="shared" si="136"/>
        <v>0</v>
      </c>
      <c r="V653">
        <v>2</v>
      </c>
      <c r="W653" t="str">
        <f t="shared" si="139"/>
        <v/>
      </c>
    </row>
    <row r="654" spans="1:23" outlineLevel="2" x14ac:dyDescent="0.3">
      <c r="A654">
        <v>-30.42</v>
      </c>
      <c r="I654" t="str">
        <f t="shared" si="129"/>
        <v/>
      </c>
      <c r="J654" t="str">
        <f t="shared" si="130"/>
        <v/>
      </c>
      <c r="K654" t="e">
        <f t="shared" si="137"/>
        <v>#N/A</v>
      </c>
      <c r="L654">
        <f t="shared" si="131"/>
        <v>-30.42</v>
      </c>
      <c r="M654" t="str">
        <f t="shared" si="132"/>
        <v/>
      </c>
      <c r="N654" t="e">
        <f t="shared" si="138"/>
        <v>#N/A</v>
      </c>
      <c r="P654">
        <f t="shared" si="133"/>
        <v>2</v>
      </c>
      <c r="Q654" t="str">
        <f t="shared" ca="1" si="134"/>
        <v/>
      </c>
      <c r="R654" t="str">
        <f t="shared" ca="1" si="135"/>
        <v/>
      </c>
      <c r="T654">
        <f t="shared" si="136"/>
        <v>0</v>
      </c>
      <c r="V654">
        <v>2</v>
      </c>
      <c r="W654" t="str">
        <f t="shared" si="139"/>
        <v/>
      </c>
    </row>
    <row r="655" spans="1:23" outlineLevel="2" x14ac:dyDescent="0.3">
      <c r="A655">
        <v>-31.11</v>
      </c>
      <c r="I655" t="str">
        <f t="shared" si="129"/>
        <v/>
      </c>
      <c r="J655" t="str">
        <f t="shared" si="130"/>
        <v/>
      </c>
      <c r="K655" t="e">
        <f t="shared" si="137"/>
        <v>#N/A</v>
      </c>
      <c r="L655">
        <f t="shared" si="131"/>
        <v>-31.11</v>
      </c>
      <c r="M655" t="str">
        <f t="shared" si="132"/>
        <v/>
      </c>
      <c r="N655" t="e">
        <f t="shared" si="138"/>
        <v>#N/A</v>
      </c>
      <c r="P655">
        <f t="shared" si="133"/>
        <v>2</v>
      </c>
      <c r="Q655" t="str">
        <f t="shared" ca="1" si="134"/>
        <v/>
      </c>
      <c r="R655" t="str">
        <f t="shared" ca="1" si="135"/>
        <v/>
      </c>
      <c r="T655">
        <f t="shared" si="136"/>
        <v>0</v>
      </c>
      <c r="V655">
        <v>2</v>
      </c>
      <c r="W655" t="str">
        <f t="shared" si="139"/>
        <v/>
      </c>
    </row>
    <row r="656" spans="1:23" outlineLevel="2" x14ac:dyDescent="0.3">
      <c r="A656">
        <v>-28.08</v>
      </c>
      <c r="I656" t="str">
        <f t="shared" si="129"/>
        <v/>
      </c>
      <c r="J656" t="str">
        <f t="shared" si="130"/>
        <v/>
      </c>
      <c r="K656" t="e">
        <f t="shared" si="137"/>
        <v>#N/A</v>
      </c>
      <c r="L656">
        <f t="shared" si="131"/>
        <v>-28.08</v>
      </c>
      <c r="M656" t="str">
        <f t="shared" si="132"/>
        <v/>
      </c>
      <c r="N656" t="e">
        <f t="shared" si="138"/>
        <v>#N/A</v>
      </c>
      <c r="P656">
        <f t="shared" si="133"/>
        <v>2</v>
      </c>
      <c r="Q656" t="str">
        <f t="shared" ca="1" si="134"/>
        <v/>
      </c>
      <c r="R656" t="str">
        <f t="shared" ca="1" si="135"/>
        <v/>
      </c>
      <c r="T656">
        <f t="shared" si="136"/>
        <v>0</v>
      </c>
      <c r="V656">
        <v>2</v>
      </c>
      <c r="W656" t="str">
        <f t="shared" si="139"/>
        <v/>
      </c>
    </row>
    <row r="657" spans="1:23" outlineLevel="2" x14ac:dyDescent="0.3">
      <c r="A657">
        <v>-26.5</v>
      </c>
      <c r="I657" t="str">
        <f t="shared" si="129"/>
        <v/>
      </c>
      <c r="J657" t="str">
        <f t="shared" si="130"/>
        <v/>
      </c>
      <c r="K657" t="e">
        <f t="shared" si="137"/>
        <v>#N/A</v>
      </c>
      <c r="L657">
        <f t="shared" si="131"/>
        <v>-26.5</v>
      </c>
      <c r="M657" t="str">
        <f t="shared" si="132"/>
        <v/>
      </c>
      <c r="N657" t="e">
        <f t="shared" si="138"/>
        <v>#N/A</v>
      </c>
      <c r="P657">
        <f t="shared" si="133"/>
        <v>2</v>
      </c>
      <c r="Q657" t="str">
        <f t="shared" ca="1" si="134"/>
        <v/>
      </c>
      <c r="R657" t="str">
        <f t="shared" ca="1" si="135"/>
        <v/>
      </c>
      <c r="T657">
        <f t="shared" si="136"/>
        <v>0</v>
      </c>
      <c r="V657">
        <v>2</v>
      </c>
      <c r="W657" t="str">
        <f t="shared" si="139"/>
        <v/>
      </c>
    </row>
    <row r="658" spans="1:23" outlineLevel="2" x14ac:dyDescent="0.3">
      <c r="A658">
        <v>-29.04</v>
      </c>
      <c r="I658" t="str">
        <f t="shared" si="129"/>
        <v/>
      </c>
      <c r="J658" t="str">
        <f t="shared" si="130"/>
        <v/>
      </c>
      <c r="K658" t="e">
        <f t="shared" si="137"/>
        <v>#N/A</v>
      </c>
      <c r="L658">
        <f t="shared" si="131"/>
        <v>-29.04</v>
      </c>
      <c r="M658" t="str">
        <f t="shared" si="132"/>
        <v/>
      </c>
      <c r="N658" t="e">
        <f t="shared" si="138"/>
        <v>#N/A</v>
      </c>
      <c r="P658">
        <f t="shared" si="133"/>
        <v>2</v>
      </c>
      <c r="Q658" t="str">
        <f t="shared" ca="1" si="134"/>
        <v/>
      </c>
      <c r="R658" t="str">
        <f t="shared" ca="1" si="135"/>
        <v/>
      </c>
      <c r="T658">
        <f t="shared" si="136"/>
        <v>0</v>
      </c>
      <c r="V658">
        <v>2</v>
      </c>
      <c r="W658" t="str">
        <f t="shared" si="139"/>
        <v/>
      </c>
    </row>
    <row r="659" spans="1:23" outlineLevel="2" x14ac:dyDescent="0.3">
      <c r="A659">
        <v>-33.08</v>
      </c>
      <c r="I659" t="str">
        <f t="shared" si="129"/>
        <v/>
      </c>
      <c r="J659" t="str">
        <f t="shared" si="130"/>
        <v/>
      </c>
      <c r="K659" t="e">
        <f t="shared" si="137"/>
        <v>#N/A</v>
      </c>
      <c r="L659">
        <f t="shared" si="131"/>
        <v>-33.08</v>
      </c>
      <c r="M659" t="str">
        <f t="shared" si="132"/>
        <v/>
      </c>
      <c r="N659" t="e">
        <f t="shared" si="138"/>
        <v>#N/A</v>
      </c>
      <c r="P659">
        <f t="shared" si="133"/>
        <v>2</v>
      </c>
      <c r="Q659" t="str">
        <f t="shared" ca="1" si="134"/>
        <v/>
      </c>
      <c r="R659" t="str">
        <f t="shared" ca="1" si="135"/>
        <v/>
      </c>
      <c r="T659">
        <f t="shared" si="136"/>
        <v>0</v>
      </c>
      <c r="V659">
        <v>2</v>
      </c>
      <c r="W659" t="str">
        <f t="shared" si="139"/>
        <v/>
      </c>
    </row>
    <row r="660" spans="1:23" outlineLevel="2" x14ac:dyDescent="0.3">
      <c r="A660">
        <v>-35.630000000000003</v>
      </c>
      <c r="I660" t="str">
        <f t="shared" si="129"/>
        <v/>
      </c>
      <c r="J660" t="str">
        <f t="shared" si="130"/>
        <v/>
      </c>
      <c r="K660" t="e">
        <f t="shared" si="137"/>
        <v>#N/A</v>
      </c>
      <c r="L660">
        <f t="shared" si="131"/>
        <v>-35.630000000000003</v>
      </c>
      <c r="M660" t="str">
        <f t="shared" si="132"/>
        <v/>
      </c>
      <c r="N660" t="e">
        <f t="shared" si="138"/>
        <v>#N/A</v>
      </c>
      <c r="P660">
        <f t="shared" si="133"/>
        <v>2</v>
      </c>
      <c r="Q660" t="str">
        <f t="shared" ca="1" si="134"/>
        <v/>
      </c>
      <c r="R660" t="str">
        <f t="shared" ca="1" si="135"/>
        <v/>
      </c>
      <c r="T660">
        <f t="shared" si="136"/>
        <v>0</v>
      </c>
      <c r="V660">
        <v>2</v>
      </c>
      <c r="W660" t="str">
        <f t="shared" si="139"/>
        <v/>
      </c>
    </row>
    <row r="661" spans="1:23" outlineLevel="2" x14ac:dyDescent="0.3">
      <c r="A661">
        <v>-34.979999999999997</v>
      </c>
      <c r="I661" t="str">
        <f t="shared" si="129"/>
        <v/>
      </c>
      <c r="J661" t="str">
        <f t="shared" si="130"/>
        <v/>
      </c>
      <c r="K661" t="e">
        <f t="shared" si="137"/>
        <v>#N/A</v>
      </c>
      <c r="L661">
        <f t="shared" si="131"/>
        <v>-34.979999999999997</v>
      </c>
      <c r="M661" t="str">
        <f t="shared" si="132"/>
        <v/>
      </c>
      <c r="N661" t="e">
        <f t="shared" si="138"/>
        <v>#N/A</v>
      </c>
      <c r="P661">
        <f t="shared" si="133"/>
        <v>2</v>
      </c>
      <c r="Q661" t="str">
        <f t="shared" ca="1" si="134"/>
        <v/>
      </c>
      <c r="R661" t="str">
        <f t="shared" ca="1" si="135"/>
        <v/>
      </c>
      <c r="T661">
        <f t="shared" si="136"/>
        <v>0</v>
      </c>
      <c r="V661">
        <v>2</v>
      </c>
      <c r="W661" t="str">
        <f t="shared" si="139"/>
        <v/>
      </c>
    </row>
    <row r="662" spans="1:23" outlineLevel="2" x14ac:dyDescent="0.3">
      <c r="A662">
        <v>-32.35</v>
      </c>
      <c r="I662" t="str">
        <f t="shared" si="129"/>
        <v/>
      </c>
      <c r="J662" t="str">
        <f t="shared" si="130"/>
        <v/>
      </c>
      <c r="K662" t="e">
        <f t="shared" si="137"/>
        <v>#N/A</v>
      </c>
      <c r="L662">
        <f t="shared" si="131"/>
        <v>-32.35</v>
      </c>
      <c r="M662" t="str">
        <f t="shared" si="132"/>
        <v/>
      </c>
      <c r="N662" t="e">
        <f t="shared" si="138"/>
        <v>#N/A</v>
      </c>
      <c r="P662">
        <f t="shared" si="133"/>
        <v>2</v>
      </c>
      <c r="Q662" t="str">
        <f t="shared" ca="1" si="134"/>
        <v/>
      </c>
      <c r="R662" t="str">
        <f t="shared" ca="1" si="135"/>
        <v/>
      </c>
      <c r="T662">
        <f t="shared" si="136"/>
        <v>0</v>
      </c>
      <c r="V662">
        <v>2</v>
      </c>
      <c r="W662" t="str">
        <f t="shared" si="139"/>
        <v/>
      </c>
    </row>
    <row r="663" spans="1:23" outlineLevel="2" x14ac:dyDescent="0.3">
      <c r="A663">
        <v>-31.93</v>
      </c>
      <c r="I663" t="str">
        <f t="shared" si="129"/>
        <v/>
      </c>
      <c r="J663" t="str">
        <f t="shared" si="130"/>
        <v/>
      </c>
      <c r="K663" t="e">
        <f t="shared" si="137"/>
        <v>#N/A</v>
      </c>
      <c r="L663">
        <f t="shared" si="131"/>
        <v>-31.93</v>
      </c>
      <c r="M663" t="str">
        <f t="shared" si="132"/>
        <v/>
      </c>
      <c r="N663" t="e">
        <f t="shared" si="138"/>
        <v>#N/A</v>
      </c>
      <c r="P663">
        <f t="shared" si="133"/>
        <v>2</v>
      </c>
      <c r="Q663" t="str">
        <f t="shared" ca="1" si="134"/>
        <v/>
      </c>
      <c r="R663" t="str">
        <f t="shared" ca="1" si="135"/>
        <v/>
      </c>
      <c r="T663">
        <f t="shared" si="136"/>
        <v>0</v>
      </c>
      <c r="V663">
        <v>2</v>
      </c>
      <c r="W663" t="str">
        <f t="shared" si="139"/>
        <v/>
      </c>
    </row>
    <row r="664" spans="1:23" outlineLevel="2" x14ac:dyDescent="0.3">
      <c r="A664">
        <v>-34.25</v>
      </c>
      <c r="I664" t="str">
        <f t="shared" si="129"/>
        <v/>
      </c>
      <c r="J664" t="str">
        <f t="shared" si="130"/>
        <v/>
      </c>
      <c r="K664" t="e">
        <f t="shared" si="137"/>
        <v>#N/A</v>
      </c>
      <c r="L664">
        <f t="shared" si="131"/>
        <v>-34.25</v>
      </c>
      <c r="M664" t="str">
        <f t="shared" si="132"/>
        <v/>
      </c>
      <c r="N664" t="e">
        <f t="shared" si="138"/>
        <v>#N/A</v>
      </c>
      <c r="P664">
        <f t="shared" si="133"/>
        <v>2</v>
      </c>
      <c r="Q664" t="str">
        <f t="shared" ca="1" si="134"/>
        <v/>
      </c>
      <c r="R664" t="str">
        <f t="shared" ca="1" si="135"/>
        <v/>
      </c>
      <c r="T664">
        <f t="shared" si="136"/>
        <v>0</v>
      </c>
      <c r="V664">
        <v>2</v>
      </c>
      <c r="W664" t="str">
        <f t="shared" si="139"/>
        <v/>
      </c>
    </row>
    <row r="665" spans="1:23" outlineLevel="2" x14ac:dyDescent="0.3">
      <c r="A665">
        <v>-36.01</v>
      </c>
      <c r="I665" t="str">
        <f t="shared" si="129"/>
        <v/>
      </c>
      <c r="J665" t="str">
        <f t="shared" si="130"/>
        <v/>
      </c>
      <c r="K665" t="e">
        <f t="shared" si="137"/>
        <v>#N/A</v>
      </c>
      <c r="L665">
        <f t="shared" si="131"/>
        <v>-36.01</v>
      </c>
      <c r="M665" t="str">
        <f t="shared" si="132"/>
        <v/>
      </c>
      <c r="N665" t="e">
        <f t="shared" si="138"/>
        <v>#N/A</v>
      </c>
      <c r="P665">
        <f t="shared" si="133"/>
        <v>2</v>
      </c>
      <c r="Q665" t="str">
        <f t="shared" ca="1" si="134"/>
        <v/>
      </c>
      <c r="R665" t="str">
        <f t="shared" ca="1" si="135"/>
        <v/>
      </c>
      <c r="T665">
        <f t="shared" si="136"/>
        <v>0</v>
      </c>
      <c r="V665">
        <v>2</v>
      </c>
      <c r="W665" t="str">
        <f t="shared" si="139"/>
        <v/>
      </c>
    </row>
    <row r="666" spans="1:23" outlineLevel="2" x14ac:dyDescent="0.3">
      <c r="A666">
        <v>-36.71</v>
      </c>
      <c r="I666" t="str">
        <f t="shared" ref="I666:I732" si="140">IF(A666&gt;0,A666,"")</f>
        <v/>
      </c>
      <c r="J666" t="str">
        <f t="shared" ref="J666:J732" si="141">IF(AND(I667&gt;I666,I667&gt;I668,I667&gt;$D$5),I667,"")</f>
        <v/>
      </c>
      <c r="K666" t="e">
        <f t="shared" si="137"/>
        <v>#N/A</v>
      </c>
      <c r="L666">
        <f t="shared" ref="L666:L732" si="142">IF(A666&lt;0,A666,"")</f>
        <v>-36.71</v>
      </c>
      <c r="M666" t="str">
        <f t="shared" ref="M666:M732" si="143">IF(AND(L667&lt;L666,L667&lt;L668,L667&lt;$G$5),L667,"")</f>
        <v/>
      </c>
      <c r="N666" t="e">
        <f t="shared" si="138"/>
        <v>#N/A</v>
      </c>
      <c r="P666">
        <f t="shared" ref="P666:P732" si="144">IF(A666&gt;0,1,2)</f>
        <v>2</v>
      </c>
      <c r="Q666" t="str">
        <f t="shared" ref="Q666:Q732" ca="1" si="145">IF(AND(A667&gt;=0,A666&lt;0),CELL("ROW",A667),IF(AND(A667&lt;0,A666&gt;=0),CELL("ROW",A667),""))</f>
        <v/>
      </c>
      <c r="R666" t="str">
        <f t="shared" ref="R666:R732" ca="1" si="146">IF(ISNUMBER(K666),IF(INT(K666)=K666,K666,""),"")&amp;IF(ISNUMBER(N666),IF(INT(N666)=N666,N666,""),"")&amp;IF(ISNUMBER(Q666),IF(INT(Q666)=Q666,Q666,""),"")</f>
        <v/>
      </c>
      <c r="T666">
        <f t="shared" ref="T666:T732" si="147">S667-S666</f>
        <v>0</v>
      </c>
      <c r="V666">
        <v>2</v>
      </c>
      <c r="W666" t="str">
        <f t="shared" si="139"/>
        <v/>
      </c>
    </row>
    <row r="667" spans="1:23" outlineLevel="2" x14ac:dyDescent="0.3">
      <c r="A667">
        <v>-36.950000000000003</v>
      </c>
      <c r="I667" t="str">
        <f t="shared" si="140"/>
        <v/>
      </c>
      <c r="J667" t="str">
        <f t="shared" si="141"/>
        <v/>
      </c>
      <c r="K667" t="e">
        <f t="shared" ref="K667:K690" si="148">MATCH(J667,$A$1:$A$10041,0)</f>
        <v>#N/A</v>
      </c>
      <c r="L667">
        <f t="shared" si="142"/>
        <v>-36.950000000000003</v>
      </c>
      <c r="M667" t="str">
        <f t="shared" si="143"/>
        <v/>
      </c>
      <c r="N667" t="e">
        <f t="shared" ref="N667:N690" si="149">MATCH(M667,$A$1:$A$10041,0)</f>
        <v>#N/A</v>
      </c>
      <c r="P667">
        <f t="shared" si="144"/>
        <v>2</v>
      </c>
      <c r="Q667" t="str">
        <f t="shared" ca="1" si="145"/>
        <v/>
      </c>
      <c r="R667" t="str">
        <f t="shared" ca="1" si="146"/>
        <v/>
      </c>
      <c r="T667">
        <f t="shared" si="147"/>
        <v>0</v>
      </c>
      <c r="V667">
        <v>2</v>
      </c>
      <c r="W667" t="str">
        <f t="shared" si="139"/>
        <v/>
      </c>
    </row>
    <row r="668" spans="1:23" outlineLevel="2" x14ac:dyDescent="0.3">
      <c r="A668">
        <v>-36.659999999999997</v>
      </c>
      <c r="I668" t="str">
        <f t="shared" si="140"/>
        <v/>
      </c>
      <c r="J668" t="str">
        <f t="shared" si="141"/>
        <v/>
      </c>
      <c r="K668" t="e">
        <f t="shared" si="148"/>
        <v>#N/A</v>
      </c>
      <c r="L668">
        <f t="shared" si="142"/>
        <v>-36.659999999999997</v>
      </c>
      <c r="M668" t="str">
        <f t="shared" si="143"/>
        <v/>
      </c>
      <c r="N668" t="e">
        <f t="shared" si="149"/>
        <v>#N/A</v>
      </c>
      <c r="P668">
        <f t="shared" si="144"/>
        <v>2</v>
      </c>
      <c r="Q668" t="str">
        <f t="shared" ca="1" si="145"/>
        <v/>
      </c>
      <c r="R668" t="str">
        <f t="shared" ca="1" si="146"/>
        <v/>
      </c>
      <c r="T668">
        <f t="shared" si="147"/>
        <v>0</v>
      </c>
      <c r="V668">
        <v>2</v>
      </c>
      <c r="W668" t="str">
        <f t="shared" si="139"/>
        <v/>
      </c>
    </row>
    <row r="669" spans="1:23" outlineLevel="2" x14ac:dyDescent="0.3">
      <c r="A669">
        <v>-36.96</v>
      </c>
      <c r="I669" t="str">
        <f t="shared" si="140"/>
        <v/>
      </c>
      <c r="J669" t="str">
        <f t="shared" si="141"/>
        <v/>
      </c>
      <c r="K669" t="e">
        <f t="shared" si="148"/>
        <v>#N/A</v>
      </c>
      <c r="L669">
        <f t="shared" si="142"/>
        <v>-36.96</v>
      </c>
      <c r="M669" t="str">
        <f t="shared" si="143"/>
        <v/>
      </c>
      <c r="N669" t="e">
        <f t="shared" si="149"/>
        <v>#N/A</v>
      </c>
      <c r="P669">
        <f t="shared" si="144"/>
        <v>2</v>
      </c>
      <c r="Q669" t="str">
        <f t="shared" ca="1" si="145"/>
        <v/>
      </c>
      <c r="R669" t="str">
        <f t="shared" ca="1" si="146"/>
        <v/>
      </c>
      <c r="T669">
        <f t="shared" si="147"/>
        <v>0</v>
      </c>
      <c r="V669">
        <v>2</v>
      </c>
      <c r="W669" t="str">
        <f t="shared" si="139"/>
        <v/>
      </c>
    </row>
    <row r="670" spans="1:23" outlineLevel="2" x14ac:dyDescent="0.3">
      <c r="A670">
        <v>-38.020000000000003</v>
      </c>
      <c r="I670" t="str">
        <f t="shared" si="140"/>
        <v/>
      </c>
      <c r="J670" t="str">
        <f t="shared" si="141"/>
        <v/>
      </c>
      <c r="K670" t="e">
        <f t="shared" si="148"/>
        <v>#N/A</v>
      </c>
      <c r="L670">
        <f t="shared" si="142"/>
        <v>-38.020000000000003</v>
      </c>
      <c r="M670" t="str">
        <f t="shared" si="143"/>
        <v/>
      </c>
      <c r="N670" t="e">
        <f t="shared" si="149"/>
        <v>#N/A</v>
      </c>
      <c r="P670">
        <f t="shared" si="144"/>
        <v>2</v>
      </c>
      <c r="Q670" t="str">
        <f t="shared" ca="1" si="145"/>
        <v/>
      </c>
      <c r="R670" t="str">
        <f t="shared" ca="1" si="146"/>
        <v/>
      </c>
      <c r="T670">
        <f t="shared" si="147"/>
        <v>0</v>
      </c>
      <c r="V670">
        <v>2</v>
      </c>
      <c r="W670" t="str">
        <f t="shared" si="139"/>
        <v/>
      </c>
    </row>
    <row r="671" spans="1:23" outlineLevel="2" x14ac:dyDescent="0.3">
      <c r="A671">
        <v>-37.69</v>
      </c>
      <c r="I671" t="str">
        <f t="shared" si="140"/>
        <v/>
      </c>
      <c r="J671" t="str">
        <f t="shared" si="141"/>
        <v/>
      </c>
      <c r="K671" t="e">
        <f t="shared" si="148"/>
        <v>#N/A</v>
      </c>
      <c r="L671">
        <f t="shared" si="142"/>
        <v>-37.69</v>
      </c>
      <c r="M671" t="str">
        <f t="shared" si="143"/>
        <v/>
      </c>
      <c r="N671" t="e">
        <f t="shared" si="149"/>
        <v>#N/A</v>
      </c>
      <c r="P671">
        <f t="shared" si="144"/>
        <v>2</v>
      </c>
      <c r="Q671" t="str">
        <f t="shared" ca="1" si="145"/>
        <v/>
      </c>
      <c r="R671" t="str">
        <f t="shared" ca="1" si="146"/>
        <v/>
      </c>
      <c r="T671">
        <f t="shared" si="147"/>
        <v>0</v>
      </c>
      <c r="V671">
        <v>2</v>
      </c>
      <c r="W671" t="str">
        <f t="shared" si="139"/>
        <v/>
      </c>
    </row>
    <row r="672" spans="1:23" outlineLevel="2" x14ac:dyDescent="0.3">
      <c r="A672">
        <v>-35.81</v>
      </c>
      <c r="I672" t="str">
        <f t="shared" si="140"/>
        <v/>
      </c>
      <c r="J672" t="str">
        <f t="shared" si="141"/>
        <v/>
      </c>
      <c r="K672" t="e">
        <f t="shared" si="148"/>
        <v>#N/A</v>
      </c>
      <c r="L672">
        <f t="shared" si="142"/>
        <v>-35.81</v>
      </c>
      <c r="M672" t="str">
        <f t="shared" si="143"/>
        <v/>
      </c>
      <c r="N672" t="e">
        <f t="shared" si="149"/>
        <v>#N/A</v>
      </c>
      <c r="P672">
        <f t="shared" si="144"/>
        <v>2</v>
      </c>
      <c r="Q672" t="str">
        <f t="shared" ca="1" si="145"/>
        <v/>
      </c>
      <c r="R672" t="str">
        <f t="shared" ca="1" si="146"/>
        <v/>
      </c>
      <c r="T672">
        <f t="shared" si="147"/>
        <v>0</v>
      </c>
      <c r="V672">
        <v>2</v>
      </c>
      <c r="W672" t="str">
        <f t="shared" si="139"/>
        <v/>
      </c>
    </row>
    <row r="673" spans="1:23" outlineLevel="2" x14ac:dyDescent="0.3">
      <c r="A673">
        <v>-33.729999999999997</v>
      </c>
      <c r="I673" t="str">
        <f t="shared" si="140"/>
        <v/>
      </c>
      <c r="J673" t="str">
        <f t="shared" si="141"/>
        <v/>
      </c>
      <c r="K673" t="e">
        <f t="shared" si="148"/>
        <v>#N/A</v>
      </c>
      <c r="L673">
        <f t="shared" si="142"/>
        <v>-33.729999999999997</v>
      </c>
      <c r="M673" t="str">
        <f t="shared" si="143"/>
        <v/>
      </c>
      <c r="N673" t="e">
        <f t="shared" si="149"/>
        <v>#N/A</v>
      </c>
      <c r="P673">
        <f t="shared" si="144"/>
        <v>2</v>
      </c>
      <c r="Q673" t="str">
        <f t="shared" ca="1" si="145"/>
        <v/>
      </c>
      <c r="R673" t="str">
        <f t="shared" ca="1" si="146"/>
        <v/>
      </c>
      <c r="T673">
        <f t="shared" si="147"/>
        <v>0</v>
      </c>
      <c r="V673">
        <v>2</v>
      </c>
      <c r="W673" t="str">
        <f t="shared" si="139"/>
        <v/>
      </c>
    </row>
    <row r="674" spans="1:23" outlineLevel="2" x14ac:dyDescent="0.3">
      <c r="A674">
        <v>-32.450000000000003</v>
      </c>
      <c r="I674" t="str">
        <f t="shared" si="140"/>
        <v/>
      </c>
      <c r="J674" t="str">
        <f t="shared" si="141"/>
        <v/>
      </c>
      <c r="K674" t="e">
        <f t="shared" si="148"/>
        <v>#N/A</v>
      </c>
      <c r="L674">
        <f t="shared" si="142"/>
        <v>-32.450000000000003</v>
      </c>
      <c r="M674" t="str">
        <f t="shared" si="143"/>
        <v/>
      </c>
      <c r="N674" t="e">
        <f t="shared" si="149"/>
        <v>#N/A</v>
      </c>
      <c r="P674">
        <f t="shared" si="144"/>
        <v>2</v>
      </c>
      <c r="Q674" t="str">
        <f t="shared" ca="1" si="145"/>
        <v/>
      </c>
      <c r="R674" t="str">
        <f t="shared" ca="1" si="146"/>
        <v/>
      </c>
      <c r="T674">
        <f t="shared" si="147"/>
        <v>0</v>
      </c>
      <c r="V674">
        <v>2</v>
      </c>
      <c r="W674" t="str">
        <f t="shared" si="139"/>
        <v/>
      </c>
    </row>
    <row r="675" spans="1:23" outlineLevel="2" x14ac:dyDescent="0.3">
      <c r="A675">
        <v>-32.06</v>
      </c>
      <c r="I675" t="str">
        <f t="shared" si="140"/>
        <v/>
      </c>
      <c r="J675" t="str">
        <f t="shared" si="141"/>
        <v/>
      </c>
      <c r="K675" t="e">
        <f t="shared" si="148"/>
        <v>#N/A</v>
      </c>
      <c r="L675">
        <f t="shared" si="142"/>
        <v>-32.06</v>
      </c>
      <c r="M675" t="str">
        <f t="shared" si="143"/>
        <v/>
      </c>
      <c r="N675" t="e">
        <f t="shared" si="149"/>
        <v>#N/A</v>
      </c>
      <c r="P675">
        <f t="shared" si="144"/>
        <v>2</v>
      </c>
      <c r="Q675" t="str">
        <f t="shared" ca="1" si="145"/>
        <v/>
      </c>
      <c r="R675" t="str">
        <f t="shared" ca="1" si="146"/>
        <v/>
      </c>
      <c r="T675">
        <f t="shared" si="147"/>
        <v>0</v>
      </c>
      <c r="V675">
        <v>2</v>
      </c>
      <c r="W675" t="str">
        <f t="shared" si="139"/>
        <v/>
      </c>
    </row>
    <row r="676" spans="1:23" outlineLevel="2" x14ac:dyDescent="0.3">
      <c r="A676">
        <v>-31.37</v>
      </c>
      <c r="I676" t="str">
        <f t="shared" si="140"/>
        <v/>
      </c>
      <c r="J676" t="str">
        <f t="shared" si="141"/>
        <v/>
      </c>
      <c r="K676" t="e">
        <f t="shared" si="148"/>
        <v>#N/A</v>
      </c>
      <c r="L676">
        <f t="shared" si="142"/>
        <v>-31.37</v>
      </c>
      <c r="M676" t="str">
        <f t="shared" si="143"/>
        <v/>
      </c>
      <c r="N676" t="e">
        <f t="shared" si="149"/>
        <v>#N/A</v>
      </c>
      <c r="P676">
        <f t="shared" si="144"/>
        <v>2</v>
      </c>
      <c r="Q676" t="str">
        <f t="shared" ca="1" si="145"/>
        <v/>
      </c>
      <c r="R676" t="str">
        <f t="shared" ca="1" si="146"/>
        <v/>
      </c>
      <c r="T676">
        <f t="shared" si="147"/>
        <v>0</v>
      </c>
      <c r="V676">
        <v>2</v>
      </c>
      <c r="W676" t="str">
        <f t="shared" si="139"/>
        <v/>
      </c>
    </row>
    <row r="677" spans="1:23" outlineLevel="2" x14ac:dyDescent="0.3">
      <c r="A677">
        <v>-30.09</v>
      </c>
      <c r="I677" t="str">
        <f t="shared" si="140"/>
        <v/>
      </c>
      <c r="J677" t="str">
        <f t="shared" si="141"/>
        <v/>
      </c>
      <c r="K677" t="e">
        <f t="shared" si="148"/>
        <v>#N/A</v>
      </c>
      <c r="L677">
        <f t="shared" si="142"/>
        <v>-30.09</v>
      </c>
      <c r="M677" t="str">
        <f t="shared" si="143"/>
        <v/>
      </c>
      <c r="N677" t="e">
        <f t="shared" si="149"/>
        <v>#N/A</v>
      </c>
      <c r="P677">
        <f t="shared" si="144"/>
        <v>2</v>
      </c>
      <c r="Q677" t="str">
        <f t="shared" ca="1" si="145"/>
        <v/>
      </c>
      <c r="R677" t="str">
        <f t="shared" ca="1" si="146"/>
        <v/>
      </c>
      <c r="T677">
        <f t="shared" si="147"/>
        <v>0</v>
      </c>
      <c r="V677">
        <v>2</v>
      </c>
      <c r="W677" t="str">
        <f t="shared" si="139"/>
        <v/>
      </c>
    </row>
    <row r="678" spans="1:23" outlineLevel="2" x14ac:dyDescent="0.3">
      <c r="A678">
        <v>-29.29</v>
      </c>
      <c r="I678" t="str">
        <f t="shared" si="140"/>
        <v/>
      </c>
      <c r="J678" t="str">
        <f t="shared" si="141"/>
        <v/>
      </c>
      <c r="K678" t="e">
        <f t="shared" si="148"/>
        <v>#N/A</v>
      </c>
      <c r="L678">
        <f t="shared" si="142"/>
        <v>-29.29</v>
      </c>
      <c r="M678" t="str">
        <f t="shared" si="143"/>
        <v/>
      </c>
      <c r="N678" t="e">
        <f t="shared" si="149"/>
        <v>#N/A</v>
      </c>
      <c r="P678">
        <f t="shared" si="144"/>
        <v>2</v>
      </c>
      <c r="Q678" t="str">
        <f t="shared" ca="1" si="145"/>
        <v/>
      </c>
      <c r="R678" t="str">
        <f t="shared" ca="1" si="146"/>
        <v/>
      </c>
      <c r="T678">
        <f t="shared" si="147"/>
        <v>0</v>
      </c>
      <c r="V678">
        <v>2</v>
      </c>
      <c r="W678" t="str">
        <f t="shared" si="139"/>
        <v/>
      </c>
    </row>
    <row r="679" spans="1:23" outlineLevel="2" x14ac:dyDescent="0.3">
      <c r="A679">
        <v>-28.03</v>
      </c>
      <c r="I679" t="str">
        <f t="shared" si="140"/>
        <v/>
      </c>
      <c r="J679" t="str">
        <f t="shared" si="141"/>
        <v/>
      </c>
      <c r="K679" t="e">
        <f t="shared" si="148"/>
        <v>#N/A</v>
      </c>
      <c r="L679">
        <f t="shared" si="142"/>
        <v>-28.03</v>
      </c>
      <c r="M679" t="str">
        <f t="shared" si="143"/>
        <v/>
      </c>
      <c r="N679" t="e">
        <f t="shared" si="149"/>
        <v>#N/A</v>
      </c>
      <c r="P679">
        <f t="shared" si="144"/>
        <v>2</v>
      </c>
      <c r="Q679" t="str">
        <f t="shared" ca="1" si="145"/>
        <v/>
      </c>
      <c r="R679" t="str">
        <f t="shared" ca="1" si="146"/>
        <v/>
      </c>
      <c r="T679">
        <f t="shared" si="147"/>
        <v>0</v>
      </c>
      <c r="V679">
        <v>2</v>
      </c>
      <c r="W679" t="str">
        <f t="shared" si="139"/>
        <v/>
      </c>
    </row>
    <row r="680" spans="1:23" outlineLevel="2" x14ac:dyDescent="0.3">
      <c r="A680">
        <v>-25.58</v>
      </c>
      <c r="I680" t="str">
        <f t="shared" si="140"/>
        <v/>
      </c>
      <c r="J680" t="str">
        <f t="shared" si="141"/>
        <v/>
      </c>
      <c r="K680" t="e">
        <f t="shared" si="148"/>
        <v>#N/A</v>
      </c>
      <c r="L680">
        <f t="shared" si="142"/>
        <v>-25.58</v>
      </c>
      <c r="M680" t="str">
        <f t="shared" si="143"/>
        <v/>
      </c>
      <c r="N680" t="e">
        <f t="shared" si="149"/>
        <v>#N/A</v>
      </c>
      <c r="P680">
        <f t="shared" si="144"/>
        <v>2</v>
      </c>
      <c r="Q680" t="str">
        <f t="shared" ca="1" si="145"/>
        <v/>
      </c>
      <c r="R680" t="str">
        <f t="shared" ca="1" si="146"/>
        <v/>
      </c>
      <c r="T680">
        <f t="shared" si="147"/>
        <v>0</v>
      </c>
      <c r="V680">
        <v>2</v>
      </c>
      <c r="W680" t="str">
        <f t="shared" si="139"/>
        <v/>
      </c>
    </row>
    <row r="681" spans="1:23" outlineLevel="2" x14ac:dyDescent="0.3">
      <c r="A681">
        <v>-23.28</v>
      </c>
      <c r="I681" t="str">
        <f t="shared" si="140"/>
        <v/>
      </c>
      <c r="J681" t="str">
        <f t="shared" si="141"/>
        <v/>
      </c>
      <c r="K681" t="e">
        <f t="shared" si="148"/>
        <v>#N/A</v>
      </c>
      <c r="L681">
        <f t="shared" si="142"/>
        <v>-23.28</v>
      </c>
      <c r="M681" t="str">
        <f t="shared" si="143"/>
        <v/>
      </c>
      <c r="N681" t="e">
        <f t="shared" si="149"/>
        <v>#N/A</v>
      </c>
      <c r="P681">
        <f t="shared" si="144"/>
        <v>2</v>
      </c>
      <c r="Q681" t="str">
        <f t="shared" ca="1" si="145"/>
        <v/>
      </c>
      <c r="R681" t="str">
        <f t="shared" ca="1" si="146"/>
        <v/>
      </c>
      <c r="T681">
        <f t="shared" si="147"/>
        <v>0</v>
      </c>
      <c r="V681">
        <v>2</v>
      </c>
      <c r="W681" t="str">
        <f t="shared" si="139"/>
        <v/>
      </c>
    </row>
    <row r="682" spans="1:23" outlineLevel="2" x14ac:dyDescent="0.3">
      <c r="A682">
        <v>-21.62</v>
      </c>
      <c r="I682" t="str">
        <f t="shared" si="140"/>
        <v/>
      </c>
      <c r="J682" t="str">
        <f t="shared" si="141"/>
        <v/>
      </c>
      <c r="K682" t="e">
        <f t="shared" si="148"/>
        <v>#N/A</v>
      </c>
      <c r="L682">
        <f t="shared" si="142"/>
        <v>-21.62</v>
      </c>
      <c r="M682" t="str">
        <f t="shared" si="143"/>
        <v/>
      </c>
      <c r="N682" t="e">
        <f t="shared" si="149"/>
        <v>#N/A</v>
      </c>
      <c r="P682">
        <f t="shared" si="144"/>
        <v>2</v>
      </c>
      <c r="Q682" t="str">
        <f t="shared" ca="1" si="145"/>
        <v/>
      </c>
      <c r="R682" t="str">
        <f t="shared" ca="1" si="146"/>
        <v/>
      </c>
      <c r="T682">
        <f t="shared" si="147"/>
        <v>0</v>
      </c>
      <c r="V682">
        <v>2</v>
      </c>
      <c r="W682" t="str">
        <f t="shared" si="139"/>
        <v/>
      </c>
    </row>
    <row r="683" spans="1:23" outlineLevel="2" x14ac:dyDescent="0.3">
      <c r="A683">
        <v>-20.399999999999999</v>
      </c>
      <c r="I683" t="str">
        <f t="shared" si="140"/>
        <v/>
      </c>
      <c r="J683" t="str">
        <f t="shared" si="141"/>
        <v/>
      </c>
      <c r="K683" t="e">
        <f t="shared" si="148"/>
        <v>#N/A</v>
      </c>
      <c r="L683">
        <f t="shared" si="142"/>
        <v>-20.399999999999999</v>
      </c>
      <c r="M683" t="str">
        <f t="shared" si="143"/>
        <v/>
      </c>
      <c r="N683" t="e">
        <f t="shared" si="149"/>
        <v>#N/A</v>
      </c>
      <c r="P683">
        <f t="shared" si="144"/>
        <v>2</v>
      </c>
      <c r="Q683" t="str">
        <f t="shared" ca="1" si="145"/>
        <v/>
      </c>
      <c r="R683" t="str">
        <f t="shared" ca="1" si="146"/>
        <v/>
      </c>
      <c r="T683">
        <f t="shared" si="147"/>
        <v>0</v>
      </c>
      <c r="V683">
        <v>2</v>
      </c>
      <c r="W683" t="str">
        <f t="shared" si="139"/>
        <v/>
      </c>
    </row>
    <row r="684" spans="1:23" outlineLevel="2" x14ac:dyDescent="0.3">
      <c r="A684">
        <v>-20.010000000000002</v>
      </c>
      <c r="I684" t="str">
        <f t="shared" si="140"/>
        <v/>
      </c>
      <c r="J684" t="str">
        <f t="shared" si="141"/>
        <v/>
      </c>
      <c r="K684" t="e">
        <f t="shared" si="148"/>
        <v>#N/A</v>
      </c>
      <c r="L684">
        <f t="shared" si="142"/>
        <v>-20.010000000000002</v>
      </c>
      <c r="M684" t="str">
        <f t="shared" si="143"/>
        <v/>
      </c>
      <c r="N684" t="e">
        <f t="shared" si="149"/>
        <v>#N/A</v>
      </c>
      <c r="P684">
        <f t="shared" si="144"/>
        <v>2</v>
      </c>
      <c r="Q684" t="str">
        <f t="shared" ca="1" si="145"/>
        <v/>
      </c>
      <c r="R684" t="str">
        <f t="shared" ca="1" si="146"/>
        <v/>
      </c>
      <c r="T684">
        <f t="shared" si="147"/>
        <v>0</v>
      </c>
      <c r="V684">
        <v>2</v>
      </c>
      <c r="W684" t="str">
        <f t="shared" si="139"/>
        <v/>
      </c>
    </row>
    <row r="685" spans="1:23" outlineLevel="2" x14ac:dyDescent="0.3">
      <c r="A685">
        <v>-19.55</v>
      </c>
      <c r="I685" t="str">
        <f t="shared" si="140"/>
        <v/>
      </c>
      <c r="J685" t="str">
        <f t="shared" si="141"/>
        <v/>
      </c>
      <c r="K685" t="e">
        <f t="shared" si="148"/>
        <v>#N/A</v>
      </c>
      <c r="L685">
        <f t="shared" si="142"/>
        <v>-19.55</v>
      </c>
      <c r="M685" t="str">
        <f t="shared" si="143"/>
        <v/>
      </c>
      <c r="N685" t="e">
        <f t="shared" si="149"/>
        <v>#N/A</v>
      </c>
      <c r="P685">
        <f t="shared" si="144"/>
        <v>2</v>
      </c>
      <c r="Q685" t="str">
        <f t="shared" ca="1" si="145"/>
        <v/>
      </c>
      <c r="R685" t="str">
        <f t="shared" ca="1" si="146"/>
        <v/>
      </c>
      <c r="T685">
        <f t="shared" si="147"/>
        <v>0</v>
      </c>
      <c r="V685">
        <v>2</v>
      </c>
      <c r="W685" t="str">
        <f t="shared" si="139"/>
        <v/>
      </c>
    </row>
    <row r="686" spans="1:23" outlineLevel="2" x14ac:dyDescent="0.3">
      <c r="A686">
        <v>-18.22</v>
      </c>
      <c r="I686" t="str">
        <f t="shared" si="140"/>
        <v/>
      </c>
      <c r="J686" t="str">
        <f t="shared" si="141"/>
        <v/>
      </c>
      <c r="K686" t="e">
        <f t="shared" si="148"/>
        <v>#N/A</v>
      </c>
      <c r="L686">
        <f t="shared" si="142"/>
        <v>-18.22</v>
      </c>
      <c r="M686" t="str">
        <f t="shared" si="143"/>
        <v/>
      </c>
      <c r="N686" t="e">
        <f t="shared" si="149"/>
        <v>#N/A</v>
      </c>
      <c r="P686">
        <f t="shared" si="144"/>
        <v>2</v>
      </c>
      <c r="Q686" t="str">
        <f t="shared" ca="1" si="145"/>
        <v/>
      </c>
      <c r="R686" t="str">
        <f t="shared" ca="1" si="146"/>
        <v/>
      </c>
      <c r="T686">
        <f t="shared" si="147"/>
        <v>0</v>
      </c>
      <c r="V686">
        <v>2</v>
      </c>
      <c r="W686" t="str">
        <f t="shared" si="139"/>
        <v/>
      </c>
    </row>
    <row r="687" spans="1:23" outlineLevel="2" x14ac:dyDescent="0.3">
      <c r="A687">
        <v>-16.64</v>
      </c>
      <c r="I687" t="str">
        <f t="shared" si="140"/>
        <v/>
      </c>
      <c r="J687" t="str">
        <f t="shared" si="141"/>
        <v/>
      </c>
      <c r="K687" t="e">
        <f t="shared" si="148"/>
        <v>#N/A</v>
      </c>
      <c r="L687">
        <f t="shared" si="142"/>
        <v>-16.64</v>
      </c>
      <c r="M687" t="str">
        <f t="shared" si="143"/>
        <v/>
      </c>
      <c r="N687" t="e">
        <f t="shared" si="149"/>
        <v>#N/A</v>
      </c>
      <c r="P687">
        <f t="shared" si="144"/>
        <v>2</v>
      </c>
      <c r="Q687" t="str">
        <f t="shared" ca="1" si="145"/>
        <v/>
      </c>
      <c r="R687" t="str">
        <f t="shared" ca="1" si="146"/>
        <v/>
      </c>
      <c r="T687">
        <f t="shared" si="147"/>
        <v>0</v>
      </c>
      <c r="V687">
        <v>2</v>
      </c>
      <c r="W687" t="str">
        <f t="shared" si="139"/>
        <v/>
      </c>
    </row>
    <row r="688" spans="1:23" outlineLevel="2" x14ac:dyDescent="0.3">
      <c r="A688">
        <v>-15.22</v>
      </c>
      <c r="I688" t="str">
        <f t="shared" si="140"/>
        <v/>
      </c>
      <c r="J688" t="str">
        <f t="shared" si="141"/>
        <v/>
      </c>
      <c r="K688" t="e">
        <f t="shared" si="148"/>
        <v>#N/A</v>
      </c>
      <c r="L688">
        <f t="shared" si="142"/>
        <v>-15.22</v>
      </c>
      <c r="M688" t="str">
        <f t="shared" si="143"/>
        <v/>
      </c>
      <c r="N688" t="e">
        <f t="shared" si="149"/>
        <v>#N/A</v>
      </c>
      <c r="P688">
        <f t="shared" si="144"/>
        <v>2</v>
      </c>
      <c r="Q688" t="str">
        <f t="shared" ca="1" si="145"/>
        <v/>
      </c>
      <c r="R688" t="str">
        <f t="shared" ca="1" si="146"/>
        <v/>
      </c>
      <c r="T688">
        <f t="shared" si="147"/>
        <v>0</v>
      </c>
      <c r="V688">
        <v>2</v>
      </c>
      <c r="W688" t="str">
        <f t="shared" si="139"/>
        <v/>
      </c>
    </row>
    <row r="689" spans="1:23" outlineLevel="2" x14ac:dyDescent="0.3">
      <c r="A689">
        <v>-13.75</v>
      </c>
      <c r="I689" t="str">
        <f t="shared" si="140"/>
        <v/>
      </c>
      <c r="J689" t="str">
        <f>IF(AND(I690&gt;I689,I690&gt;I692,I690&gt;$D$5),I690,"")</f>
        <v/>
      </c>
      <c r="K689" t="e">
        <f t="shared" si="148"/>
        <v>#N/A</v>
      </c>
      <c r="L689">
        <f t="shared" si="142"/>
        <v>-13.75</v>
      </c>
      <c r="M689" t="str">
        <f>IF(AND(L690&lt;L689,L690&lt;L692,L690&lt;$G$5),L690,"")</f>
        <v/>
      </c>
      <c r="N689" t="e">
        <f t="shared" si="149"/>
        <v>#N/A</v>
      </c>
      <c r="P689">
        <f t="shared" si="144"/>
        <v>2</v>
      </c>
      <c r="Q689" t="str">
        <f t="shared" ca="1" si="145"/>
        <v/>
      </c>
      <c r="R689" t="str">
        <f t="shared" ca="1" si="146"/>
        <v/>
      </c>
      <c r="T689">
        <f t="shared" si="147"/>
        <v>0</v>
      </c>
      <c r="V689">
        <v>2</v>
      </c>
      <c r="W689" t="str">
        <f t="shared" si="139"/>
        <v/>
      </c>
    </row>
    <row r="690" spans="1:23" outlineLevel="2" x14ac:dyDescent="0.3">
      <c r="A690">
        <v>-11.75</v>
      </c>
      <c r="I690" t="str">
        <f t="shared" si="140"/>
        <v/>
      </c>
      <c r="J690" t="str">
        <f>IF(AND(I692&gt;I690,I692&gt;I693,I692&gt;$D$5),I692,"")</f>
        <v/>
      </c>
      <c r="K690" t="e">
        <f t="shared" si="148"/>
        <v>#N/A</v>
      </c>
      <c r="L690">
        <f t="shared" si="142"/>
        <v>-11.75</v>
      </c>
      <c r="M690" t="str">
        <f>IF(AND(L692&lt;L690,L692&lt;L693,L692&lt;$G$5),L692,"")</f>
        <v/>
      </c>
      <c r="N690" t="e">
        <f t="shared" si="149"/>
        <v>#N/A</v>
      </c>
      <c r="P690">
        <f t="shared" si="144"/>
        <v>2</v>
      </c>
      <c r="Q690">
        <f ca="1">IF(AND(A692&gt;=0,A690&lt;0),CELL("ROW",A692),IF(AND(A692&lt;0,A690&gt;=0),CELL("ROW",A692),""))</f>
        <v>692</v>
      </c>
      <c r="R690" t="str">
        <f t="shared" ca="1" si="146"/>
        <v>692</v>
      </c>
      <c r="T690">
        <f>S692-S690</f>
        <v>0</v>
      </c>
      <c r="V690">
        <v>2</v>
      </c>
      <c r="W690" t="str">
        <f t="shared" si="139"/>
        <v/>
      </c>
    </row>
    <row r="691" spans="1:23" outlineLevel="1" x14ac:dyDescent="0.3">
      <c r="O691" s="1" t="s">
        <v>27</v>
      </c>
      <c r="P691">
        <f>SUBTOTAL(3,P635:P690)</f>
        <v>56</v>
      </c>
      <c r="V691">
        <v>56</v>
      </c>
      <c r="W691" t="str">
        <f t="shared" si="139"/>
        <v/>
      </c>
    </row>
    <row r="692" spans="1:23" outlineLevel="2" x14ac:dyDescent="0.3">
      <c r="A692">
        <v>17.600000000000001</v>
      </c>
      <c r="I692">
        <f t="shared" si="140"/>
        <v>17.600000000000001</v>
      </c>
      <c r="J692" t="str">
        <f t="shared" si="141"/>
        <v/>
      </c>
      <c r="K692" t="e">
        <f t="shared" ref="K692:K714" si="150">MATCH(J692,$A$1:$A$10041,0)</f>
        <v>#N/A</v>
      </c>
      <c r="L692" t="str">
        <f t="shared" si="142"/>
        <v/>
      </c>
      <c r="M692" t="str">
        <f t="shared" si="143"/>
        <v/>
      </c>
      <c r="N692" t="e">
        <f t="shared" ref="N692:N714" si="151">MATCH(M692,$A$1:$A$10041,0)</f>
        <v>#N/A</v>
      </c>
      <c r="P692">
        <f t="shared" si="144"/>
        <v>1</v>
      </c>
      <c r="Q692" t="str">
        <f t="shared" ca="1" si="145"/>
        <v/>
      </c>
      <c r="R692" t="str">
        <f t="shared" ca="1" si="146"/>
        <v/>
      </c>
      <c r="T692">
        <f t="shared" si="147"/>
        <v>0</v>
      </c>
      <c r="V692">
        <v>1</v>
      </c>
      <c r="W692" t="str">
        <f t="shared" si="139"/>
        <v/>
      </c>
    </row>
    <row r="693" spans="1:23" outlineLevel="2" x14ac:dyDescent="0.3">
      <c r="A693">
        <v>26.08</v>
      </c>
      <c r="I693">
        <f t="shared" si="140"/>
        <v>26.08</v>
      </c>
      <c r="J693" t="str">
        <f t="shared" si="141"/>
        <v/>
      </c>
      <c r="K693" t="e">
        <f t="shared" si="150"/>
        <v>#N/A</v>
      </c>
      <c r="L693" t="str">
        <f t="shared" si="142"/>
        <v/>
      </c>
      <c r="M693" t="str">
        <f t="shared" si="143"/>
        <v/>
      </c>
      <c r="N693" t="e">
        <f t="shared" si="151"/>
        <v>#N/A</v>
      </c>
      <c r="P693">
        <f t="shared" si="144"/>
        <v>1</v>
      </c>
      <c r="Q693" t="str">
        <f t="shared" ca="1" si="145"/>
        <v/>
      </c>
      <c r="R693" t="str">
        <f t="shared" ca="1" si="146"/>
        <v/>
      </c>
      <c r="T693">
        <f t="shared" si="147"/>
        <v>0</v>
      </c>
      <c r="V693">
        <v>1</v>
      </c>
      <c r="W693" t="str">
        <f t="shared" si="139"/>
        <v/>
      </c>
    </row>
    <row r="694" spans="1:23" outlineLevel="2" x14ac:dyDescent="0.3">
      <c r="A694">
        <v>27.19</v>
      </c>
      <c r="I694">
        <f t="shared" si="140"/>
        <v>27.19</v>
      </c>
      <c r="J694" t="str">
        <f t="shared" si="141"/>
        <v/>
      </c>
      <c r="K694" t="e">
        <f t="shared" si="150"/>
        <v>#N/A</v>
      </c>
      <c r="L694" t="str">
        <f t="shared" si="142"/>
        <v/>
      </c>
      <c r="M694" t="str">
        <f t="shared" si="143"/>
        <v/>
      </c>
      <c r="N694" t="e">
        <f t="shared" si="151"/>
        <v>#N/A</v>
      </c>
      <c r="P694">
        <f t="shared" si="144"/>
        <v>1</v>
      </c>
      <c r="Q694" t="str">
        <f t="shared" ca="1" si="145"/>
        <v/>
      </c>
      <c r="R694" t="str">
        <f t="shared" ca="1" si="146"/>
        <v/>
      </c>
      <c r="T694">
        <f t="shared" si="147"/>
        <v>0</v>
      </c>
      <c r="V694">
        <v>1</v>
      </c>
      <c r="W694" t="str">
        <f t="shared" si="139"/>
        <v/>
      </c>
    </row>
    <row r="695" spans="1:23" outlineLevel="2" x14ac:dyDescent="0.3">
      <c r="A695">
        <v>21.47</v>
      </c>
      <c r="I695">
        <f t="shared" si="140"/>
        <v>21.47</v>
      </c>
      <c r="J695" t="str">
        <f t="shared" si="141"/>
        <v/>
      </c>
      <c r="K695" t="e">
        <f t="shared" si="150"/>
        <v>#N/A</v>
      </c>
      <c r="L695" t="str">
        <f t="shared" si="142"/>
        <v/>
      </c>
      <c r="M695" t="str">
        <f t="shared" si="143"/>
        <v/>
      </c>
      <c r="N695" t="e">
        <f t="shared" si="151"/>
        <v>#N/A</v>
      </c>
      <c r="P695">
        <f t="shared" si="144"/>
        <v>1</v>
      </c>
      <c r="Q695" t="str">
        <f t="shared" ca="1" si="145"/>
        <v/>
      </c>
      <c r="R695" t="str">
        <f t="shared" ca="1" si="146"/>
        <v/>
      </c>
      <c r="T695">
        <f t="shared" si="147"/>
        <v>0</v>
      </c>
      <c r="V695">
        <v>1</v>
      </c>
      <c r="W695" t="str">
        <f t="shared" si="139"/>
        <v/>
      </c>
    </row>
    <row r="696" spans="1:23" outlineLevel="2" x14ac:dyDescent="0.3">
      <c r="A696">
        <v>14.89</v>
      </c>
      <c r="I696">
        <f t="shared" si="140"/>
        <v>14.89</v>
      </c>
      <c r="J696" t="str">
        <f t="shared" si="141"/>
        <v/>
      </c>
      <c r="K696" t="e">
        <f t="shared" si="150"/>
        <v>#N/A</v>
      </c>
      <c r="L696" t="str">
        <f t="shared" si="142"/>
        <v/>
      </c>
      <c r="M696" t="str">
        <f t="shared" si="143"/>
        <v/>
      </c>
      <c r="N696" t="e">
        <f t="shared" si="151"/>
        <v>#N/A</v>
      </c>
      <c r="P696">
        <f t="shared" si="144"/>
        <v>1</v>
      </c>
      <c r="Q696" t="str">
        <f t="shared" ca="1" si="145"/>
        <v/>
      </c>
      <c r="R696" t="str">
        <f t="shared" ca="1" si="146"/>
        <v/>
      </c>
      <c r="T696">
        <f t="shared" si="147"/>
        <v>0</v>
      </c>
      <c r="V696">
        <v>1</v>
      </c>
      <c r="W696" t="str">
        <f t="shared" si="139"/>
        <v/>
      </c>
    </row>
    <row r="697" spans="1:23" outlineLevel="2" x14ac:dyDescent="0.3">
      <c r="A697">
        <v>11.09</v>
      </c>
      <c r="I697">
        <f t="shared" si="140"/>
        <v>11.09</v>
      </c>
      <c r="J697" t="str">
        <f t="shared" si="141"/>
        <v/>
      </c>
      <c r="K697" t="e">
        <f t="shared" si="150"/>
        <v>#N/A</v>
      </c>
      <c r="L697" t="str">
        <f t="shared" si="142"/>
        <v/>
      </c>
      <c r="M697" t="str">
        <f t="shared" si="143"/>
        <v/>
      </c>
      <c r="N697" t="e">
        <f t="shared" si="151"/>
        <v>#N/A</v>
      </c>
      <c r="P697">
        <f t="shared" si="144"/>
        <v>1</v>
      </c>
      <c r="Q697" t="str">
        <f t="shared" ca="1" si="145"/>
        <v/>
      </c>
      <c r="R697" t="str">
        <f t="shared" ca="1" si="146"/>
        <v/>
      </c>
      <c r="T697">
        <f t="shared" si="147"/>
        <v>0</v>
      </c>
      <c r="V697">
        <v>1</v>
      </c>
      <c r="W697" t="str">
        <f t="shared" si="139"/>
        <v/>
      </c>
    </row>
    <row r="698" spans="1:23" outlineLevel="2" x14ac:dyDescent="0.3">
      <c r="A698">
        <v>12.33</v>
      </c>
      <c r="I698">
        <f t="shared" si="140"/>
        <v>12.33</v>
      </c>
      <c r="J698" t="str">
        <f t="shared" si="141"/>
        <v/>
      </c>
      <c r="K698" t="e">
        <f t="shared" si="150"/>
        <v>#N/A</v>
      </c>
      <c r="L698" t="str">
        <f t="shared" si="142"/>
        <v/>
      </c>
      <c r="M698" t="str">
        <f t="shared" si="143"/>
        <v/>
      </c>
      <c r="N698" t="e">
        <f t="shared" si="151"/>
        <v>#N/A</v>
      </c>
      <c r="P698">
        <f t="shared" si="144"/>
        <v>1</v>
      </c>
      <c r="Q698" t="str">
        <f t="shared" ca="1" si="145"/>
        <v/>
      </c>
      <c r="R698" t="str">
        <f t="shared" ca="1" si="146"/>
        <v/>
      </c>
      <c r="T698">
        <f t="shared" si="147"/>
        <v>0</v>
      </c>
      <c r="V698">
        <v>1</v>
      </c>
      <c r="W698" t="str">
        <f t="shared" si="139"/>
        <v/>
      </c>
    </row>
    <row r="699" spans="1:23" outlineLevel="2" x14ac:dyDescent="0.3">
      <c r="A699">
        <v>13.32</v>
      </c>
      <c r="I699">
        <f t="shared" si="140"/>
        <v>13.32</v>
      </c>
      <c r="J699" t="str">
        <f t="shared" si="141"/>
        <v/>
      </c>
      <c r="K699" t="e">
        <f t="shared" si="150"/>
        <v>#N/A</v>
      </c>
      <c r="L699" t="str">
        <f t="shared" si="142"/>
        <v/>
      </c>
      <c r="M699" t="str">
        <f t="shared" si="143"/>
        <v/>
      </c>
      <c r="N699" t="e">
        <f t="shared" si="151"/>
        <v>#N/A</v>
      </c>
      <c r="P699">
        <f t="shared" si="144"/>
        <v>1</v>
      </c>
      <c r="Q699" t="str">
        <f t="shared" ca="1" si="145"/>
        <v/>
      </c>
      <c r="R699" t="str">
        <f t="shared" ca="1" si="146"/>
        <v/>
      </c>
      <c r="T699">
        <f t="shared" si="147"/>
        <v>0</v>
      </c>
      <c r="V699">
        <v>1</v>
      </c>
      <c r="W699" t="str">
        <f t="shared" si="139"/>
        <v/>
      </c>
    </row>
    <row r="700" spans="1:23" outlineLevel="2" x14ac:dyDescent="0.3">
      <c r="A700">
        <v>12.98</v>
      </c>
      <c r="I700">
        <f t="shared" si="140"/>
        <v>12.98</v>
      </c>
      <c r="J700" t="str">
        <f t="shared" si="141"/>
        <v/>
      </c>
      <c r="K700" t="e">
        <f t="shared" si="150"/>
        <v>#N/A</v>
      </c>
      <c r="L700" t="str">
        <f t="shared" si="142"/>
        <v/>
      </c>
      <c r="M700" t="str">
        <f t="shared" si="143"/>
        <v/>
      </c>
      <c r="N700" t="e">
        <f t="shared" si="151"/>
        <v>#N/A</v>
      </c>
      <c r="P700">
        <f t="shared" si="144"/>
        <v>1</v>
      </c>
      <c r="Q700" t="str">
        <f t="shared" ca="1" si="145"/>
        <v/>
      </c>
      <c r="R700" t="str">
        <f t="shared" ca="1" si="146"/>
        <v/>
      </c>
      <c r="T700">
        <f t="shared" si="147"/>
        <v>0</v>
      </c>
      <c r="V700">
        <v>1</v>
      </c>
      <c r="W700" t="str">
        <f t="shared" si="139"/>
        <v/>
      </c>
    </row>
    <row r="701" spans="1:23" outlineLevel="2" x14ac:dyDescent="0.3">
      <c r="A701">
        <v>11.3</v>
      </c>
      <c r="I701">
        <f t="shared" si="140"/>
        <v>11.3</v>
      </c>
      <c r="J701" t="str">
        <f t="shared" si="141"/>
        <v/>
      </c>
      <c r="K701" t="e">
        <f t="shared" si="150"/>
        <v>#N/A</v>
      </c>
      <c r="L701" t="str">
        <f t="shared" si="142"/>
        <v/>
      </c>
      <c r="M701" t="str">
        <f t="shared" si="143"/>
        <v/>
      </c>
      <c r="N701" t="e">
        <f t="shared" si="151"/>
        <v>#N/A</v>
      </c>
      <c r="P701">
        <f t="shared" si="144"/>
        <v>1</v>
      </c>
      <c r="Q701" t="str">
        <f t="shared" ca="1" si="145"/>
        <v/>
      </c>
      <c r="R701" t="str">
        <f t="shared" ca="1" si="146"/>
        <v/>
      </c>
      <c r="T701">
        <f t="shared" si="147"/>
        <v>0</v>
      </c>
      <c r="V701">
        <v>1</v>
      </c>
      <c r="W701" t="str">
        <f t="shared" si="139"/>
        <v/>
      </c>
    </row>
    <row r="702" spans="1:23" outlineLevel="2" x14ac:dyDescent="0.3">
      <c r="A702">
        <v>16.079999999999998</v>
      </c>
      <c r="I702">
        <f t="shared" si="140"/>
        <v>16.079999999999998</v>
      </c>
      <c r="J702" t="str">
        <f t="shared" si="141"/>
        <v/>
      </c>
      <c r="K702" t="e">
        <f t="shared" si="150"/>
        <v>#N/A</v>
      </c>
      <c r="L702" t="str">
        <f t="shared" si="142"/>
        <v/>
      </c>
      <c r="M702" t="str">
        <f t="shared" si="143"/>
        <v/>
      </c>
      <c r="N702" t="e">
        <f t="shared" si="151"/>
        <v>#N/A</v>
      </c>
      <c r="P702">
        <f t="shared" si="144"/>
        <v>1</v>
      </c>
      <c r="Q702" t="str">
        <f t="shared" ca="1" si="145"/>
        <v/>
      </c>
      <c r="R702" t="str">
        <f t="shared" ca="1" si="146"/>
        <v/>
      </c>
      <c r="T702">
        <f t="shared" si="147"/>
        <v>0</v>
      </c>
      <c r="V702">
        <v>1</v>
      </c>
      <c r="W702" t="str">
        <f t="shared" si="139"/>
        <v/>
      </c>
    </row>
    <row r="703" spans="1:23" outlineLevel="2" x14ac:dyDescent="0.3">
      <c r="A703">
        <v>21.87</v>
      </c>
      <c r="I703">
        <f t="shared" si="140"/>
        <v>21.87</v>
      </c>
      <c r="J703" t="str">
        <f t="shared" si="141"/>
        <v/>
      </c>
      <c r="K703" t="e">
        <f t="shared" si="150"/>
        <v>#N/A</v>
      </c>
      <c r="L703" t="str">
        <f t="shared" si="142"/>
        <v/>
      </c>
      <c r="M703" t="str">
        <f t="shared" si="143"/>
        <v/>
      </c>
      <c r="N703" t="e">
        <f t="shared" si="151"/>
        <v>#N/A</v>
      </c>
      <c r="P703">
        <f t="shared" si="144"/>
        <v>1</v>
      </c>
      <c r="Q703" t="str">
        <f t="shared" ca="1" si="145"/>
        <v/>
      </c>
      <c r="R703" t="str">
        <f t="shared" ca="1" si="146"/>
        <v/>
      </c>
      <c r="T703">
        <f t="shared" si="147"/>
        <v>0</v>
      </c>
      <c r="V703">
        <v>1</v>
      </c>
      <c r="W703" t="str">
        <f t="shared" si="139"/>
        <v/>
      </c>
    </row>
    <row r="704" spans="1:23" outlineLevel="2" x14ac:dyDescent="0.3">
      <c r="A704">
        <v>27.95</v>
      </c>
      <c r="I704">
        <f t="shared" si="140"/>
        <v>27.95</v>
      </c>
      <c r="J704" t="str">
        <f t="shared" si="141"/>
        <v/>
      </c>
      <c r="K704" t="e">
        <f t="shared" si="150"/>
        <v>#N/A</v>
      </c>
      <c r="L704" t="str">
        <f t="shared" si="142"/>
        <v/>
      </c>
      <c r="M704" t="str">
        <f t="shared" si="143"/>
        <v/>
      </c>
      <c r="N704" t="e">
        <f t="shared" si="151"/>
        <v>#N/A</v>
      </c>
      <c r="P704">
        <f t="shared" si="144"/>
        <v>1</v>
      </c>
      <c r="Q704" t="str">
        <f t="shared" ca="1" si="145"/>
        <v/>
      </c>
      <c r="R704" t="str">
        <f t="shared" ca="1" si="146"/>
        <v/>
      </c>
      <c r="T704">
        <f t="shared" si="147"/>
        <v>0</v>
      </c>
      <c r="V704">
        <v>1</v>
      </c>
      <c r="W704" t="str">
        <f t="shared" si="139"/>
        <v/>
      </c>
    </row>
    <row r="705" spans="1:23" outlineLevel="2" x14ac:dyDescent="0.3">
      <c r="A705">
        <v>39.85</v>
      </c>
      <c r="I705">
        <f t="shared" si="140"/>
        <v>39.85</v>
      </c>
      <c r="J705" t="str">
        <f t="shared" si="141"/>
        <v/>
      </c>
      <c r="K705" t="e">
        <f t="shared" si="150"/>
        <v>#N/A</v>
      </c>
      <c r="L705" t="str">
        <f t="shared" si="142"/>
        <v/>
      </c>
      <c r="M705" t="str">
        <f t="shared" si="143"/>
        <v/>
      </c>
      <c r="N705" t="e">
        <f t="shared" si="151"/>
        <v>#N/A</v>
      </c>
      <c r="P705">
        <f t="shared" si="144"/>
        <v>1</v>
      </c>
      <c r="Q705" t="str">
        <f t="shared" ca="1" si="145"/>
        <v/>
      </c>
      <c r="R705" t="str">
        <f t="shared" ca="1" si="146"/>
        <v/>
      </c>
      <c r="T705">
        <f t="shared" si="147"/>
        <v>0</v>
      </c>
      <c r="V705">
        <v>1</v>
      </c>
      <c r="W705" t="str">
        <f t="shared" si="139"/>
        <v/>
      </c>
    </row>
    <row r="706" spans="1:23" outlineLevel="2" x14ac:dyDescent="0.3">
      <c r="A706">
        <v>62.1</v>
      </c>
      <c r="I706">
        <f t="shared" si="140"/>
        <v>62.1</v>
      </c>
      <c r="J706" t="str">
        <f t="shared" si="141"/>
        <v/>
      </c>
      <c r="K706" t="e">
        <f t="shared" si="150"/>
        <v>#N/A</v>
      </c>
      <c r="L706" t="str">
        <f t="shared" si="142"/>
        <v/>
      </c>
      <c r="M706" t="str">
        <f t="shared" si="143"/>
        <v/>
      </c>
      <c r="N706" t="e">
        <f t="shared" si="151"/>
        <v>#N/A</v>
      </c>
      <c r="P706">
        <f t="shared" si="144"/>
        <v>1</v>
      </c>
      <c r="Q706" t="str">
        <f t="shared" ca="1" si="145"/>
        <v/>
      </c>
      <c r="R706" t="str">
        <f t="shared" ca="1" si="146"/>
        <v/>
      </c>
      <c r="T706">
        <f t="shared" si="147"/>
        <v>0</v>
      </c>
      <c r="V706">
        <v>1</v>
      </c>
      <c r="W706" t="str">
        <f t="shared" si="139"/>
        <v/>
      </c>
    </row>
    <row r="707" spans="1:23" outlineLevel="2" x14ac:dyDescent="0.3">
      <c r="A707">
        <v>96.13</v>
      </c>
      <c r="I707">
        <f t="shared" si="140"/>
        <v>96.13</v>
      </c>
      <c r="J707" t="str">
        <f t="shared" si="141"/>
        <v/>
      </c>
      <c r="K707" t="e">
        <f t="shared" si="150"/>
        <v>#N/A</v>
      </c>
      <c r="L707" t="str">
        <f t="shared" si="142"/>
        <v/>
      </c>
      <c r="M707" t="str">
        <f t="shared" si="143"/>
        <v/>
      </c>
      <c r="N707" t="e">
        <f t="shared" si="151"/>
        <v>#N/A</v>
      </c>
      <c r="P707">
        <f t="shared" si="144"/>
        <v>1</v>
      </c>
      <c r="Q707" t="str">
        <f t="shared" ca="1" si="145"/>
        <v/>
      </c>
      <c r="R707" t="str">
        <f t="shared" ca="1" si="146"/>
        <v/>
      </c>
      <c r="T707">
        <f t="shared" si="147"/>
        <v>0</v>
      </c>
      <c r="V707">
        <v>1</v>
      </c>
      <c r="W707" t="str">
        <f t="shared" ref="W707:W770" si="152">IF(AND(V707&gt;2,V707&lt;20),V707,"")</f>
        <v/>
      </c>
    </row>
    <row r="708" spans="1:23" outlineLevel="2" x14ac:dyDescent="0.3">
      <c r="A708">
        <v>139.91</v>
      </c>
      <c r="I708">
        <f t="shared" si="140"/>
        <v>139.91</v>
      </c>
      <c r="J708" t="str">
        <f t="shared" si="141"/>
        <v/>
      </c>
      <c r="K708" t="e">
        <f t="shared" si="150"/>
        <v>#N/A</v>
      </c>
      <c r="L708" t="str">
        <f t="shared" si="142"/>
        <v/>
      </c>
      <c r="M708" t="str">
        <f t="shared" si="143"/>
        <v/>
      </c>
      <c r="N708" t="e">
        <f t="shared" si="151"/>
        <v>#N/A</v>
      </c>
      <c r="P708">
        <f t="shared" si="144"/>
        <v>1</v>
      </c>
      <c r="Q708" t="str">
        <f t="shared" ca="1" si="145"/>
        <v/>
      </c>
      <c r="R708" t="str">
        <f t="shared" ca="1" si="146"/>
        <v/>
      </c>
      <c r="T708">
        <f t="shared" si="147"/>
        <v>0</v>
      </c>
      <c r="V708">
        <v>1</v>
      </c>
      <c r="W708" t="str">
        <f t="shared" si="152"/>
        <v/>
      </c>
    </row>
    <row r="709" spans="1:23" outlineLevel="2" x14ac:dyDescent="0.3">
      <c r="A709">
        <v>183.35</v>
      </c>
      <c r="I709">
        <f t="shared" si="140"/>
        <v>183.35</v>
      </c>
      <c r="J709">
        <f t="shared" si="141"/>
        <v>210.27</v>
      </c>
      <c r="K709">
        <f t="shared" si="150"/>
        <v>710</v>
      </c>
      <c r="L709" t="str">
        <f t="shared" si="142"/>
        <v/>
      </c>
      <c r="M709" t="str">
        <f t="shared" si="143"/>
        <v/>
      </c>
      <c r="N709" t="e">
        <f t="shared" si="151"/>
        <v>#N/A</v>
      </c>
      <c r="P709">
        <f t="shared" si="144"/>
        <v>1</v>
      </c>
      <c r="Q709" t="str">
        <f t="shared" ca="1" si="145"/>
        <v/>
      </c>
      <c r="R709" t="str">
        <f t="shared" ca="1" si="146"/>
        <v>710</v>
      </c>
      <c r="T709">
        <f t="shared" si="147"/>
        <v>0</v>
      </c>
      <c r="V709">
        <v>1</v>
      </c>
      <c r="W709" t="str">
        <f t="shared" si="152"/>
        <v/>
      </c>
    </row>
    <row r="710" spans="1:23" outlineLevel="2" x14ac:dyDescent="0.3">
      <c r="A710">
        <v>210.27</v>
      </c>
      <c r="I710">
        <f t="shared" si="140"/>
        <v>210.27</v>
      </c>
      <c r="J710" t="str">
        <f t="shared" si="141"/>
        <v/>
      </c>
      <c r="K710" t="e">
        <f t="shared" si="150"/>
        <v>#N/A</v>
      </c>
      <c r="L710" t="str">
        <f t="shared" si="142"/>
        <v/>
      </c>
      <c r="M710" t="str">
        <f t="shared" si="143"/>
        <v/>
      </c>
      <c r="N710" t="e">
        <f t="shared" si="151"/>
        <v>#N/A</v>
      </c>
      <c r="P710">
        <f t="shared" si="144"/>
        <v>1</v>
      </c>
      <c r="Q710" t="str">
        <f t="shared" ca="1" si="145"/>
        <v/>
      </c>
      <c r="R710" t="str">
        <f t="shared" ca="1" si="146"/>
        <v/>
      </c>
      <c r="T710">
        <f t="shared" si="147"/>
        <v>0</v>
      </c>
      <c r="V710">
        <v>1</v>
      </c>
      <c r="W710" t="str">
        <f t="shared" si="152"/>
        <v/>
      </c>
    </row>
    <row r="711" spans="1:23" outlineLevel="2" x14ac:dyDescent="0.3">
      <c r="A711">
        <v>208.93</v>
      </c>
      <c r="I711">
        <f t="shared" si="140"/>
        <v>208.93</v>
      </c>
      <c r="J711" t="str">
        <f t="shared" si="141"/>
        <v/>
      </c>
      <c r="K711" t="e">
        <f t="shared" si="150"/>
        <v>#N/A</v>
      </c>
      <c r="L711" t="str">
        <f t="shared" si="142"/>
        <v/>
      </c>
      <c r="M711" t="str">
        <f t="shared" si="143"/>
        <v/>
      </c>
      <c r="N711" t="e">
        <f t="shared" si="151"/>
        <v>#N/A</v>
      </c>
      <c r="P711">
        <f t="shared" si="144"/>
        <v>1</v>
      </c>
      <c r="Q711" t="str">
        <f t="shared" ca="1" si="145"/>
        <v/>
      </c>
      <c r="R711" t="str">
        <f t="shared" ca="1" si="146"/>
        <v/>
      </c>
      <c r="T711">
        <f t="shared" si="147"/>
        <v>0</v>
      </c>
      <c r="V711">
        <v>1</v>
      </c>
      <c r="W711" t="str">
        <f t="shared" si="152"/>
        <v/>
      </c>
    </row>
    <row r="712" spans="1:23" outlineLevel="2" x14ac:dyDescent="0.3">
      <c r="A712">
        <v>177.95</v>
      </c>
      <c r="I712">
        <f t="shared" si="140"/>
        <v>177.95</v>
      </c>
      <c r="J712" t="str">
        <f t="shared" si="141"/>
        <v/>
      </c>
      <c r="K712" t="e">
        <f t="shared" si="150"/>
        <v>#N/A</v>
      </c>
      <c r="L712" t="str">
        <f t="shared" si="142"/>
        <v/>
      </c>
      <c r="M712" t="str">
        <f t="shared" si="143"/>
        <v/>
      </c>
      <c r="N712" t="e">
        <f t="shared" si="151"/>
        <v>#N/A</v>
      </c>
      <c r="P712">
        <f t="shared" si="144"/>
        <v>1</v>
      </c>
      <c r="Q712" t="str">
        <f t="shared" ca="1" si="145"/>
        <v/>
      </c>
      <c r="R712" t="str">
        <f t="shared" ca="1" si="146"/>
        <v/>
      </c>
      <c r="T712">
        <f t="shared" si="147"/>
        <v>0</v>
      </c>
      <c r="V712">
        <v>1</v>
      </c>
      <c r="W712" t="str">
        <f t="shared" si="152"/>
        <v/>
      </c>
    </row>
    <row r="713" spans="1:23" outlineLevel="2" x14ac:dyDescent="0.3">
      <c r="A713">
        <v>123.05</v>
      </c>
      <c r="I713">
        <f t="shared" si="140"/>
        <v>123.05</v>
      </c>
      <c r="J713" t="str">
        <f>IF(AND(I714&gt;I713,I714&gt;I716,I714&gt;$D$5),I714,"")</f>
        <v/>
      </c>
      <c r="K713" t="e">
        <f t="shared" si="150"/>
        <v>#N/A</v>
      </c>
      <c r="L713" t="str">
        <f t="shared" si="142"/>
        <v/>
      </c>
      <c r="M713" t="str">
        <f>IF(AND(L714&lt;L713,L714&lt;L716,L714&lt;$G$5),L714,"")</f>
        <v/>
      </c>
      <c r="N713" t="e">
        <f t="shared" si="151"/>
        <v>#N/A</v>
      </c>
      <c r="P713">
        <f t="shared" si="144"/>
        <v>1</v>
      </c>
      <c r="Q713" t="str">
        <f t="shared" ca="1" si="145"/>
        <v/>
      </c>
      <c r="R713" t="str">
        <f t="shared" ca="1" si="146"/>
        <v/>
      </c>
      <c r="T713">
        <f t="shared" si="147"/>
        <v>0</v>
      </c>
      <c r="V713">
        <v>1</v>
      </c>
      <c r="W713" t="str">
        <f t="shared" si="152"/>
        <v/>
      </c>
    </row>
    <row r="714" spans="1:23" outlineLevel="2" x14ac:dyDescent="0.3">
      <c r="A714">
        <v>50.72</v>
      </c>
      <c r="I714">
        <f t="shared" si="140"/>
        <v>50.72</v>
      </c>
      <c r="J714" t="str">
        <f>IF(AND(I716&gt;I714,I716&gt;I717,I716&gt;$D$5),I716,"")</f>
        <v/>
      </c>
      <c r="K714" t="e">
        <f t="shared" si="150"/>
        <v>#N/A</v>
      </c>
      <c r="L714" t="str">
        <f t="shared" si="142"/>
        <v/>
      </c>
      <c r="M714" t="str">
        <f>IF(AND(L716&lt;L714,L716&lt;L717,L716&lt;$G$5),L716,"")</f>
        <v/>
      </c>
      <c r="N714" t="e">
        <f t="shared" si="151"/>
        <v>#N/A</v>
      </c>
      <c r="P714">
        <f t="shared" si="144"/>
        <v>1</v>
      </c>
      <c r="Q714">
        <f ca="1">IF(AND(A716&gt;=0,A714&lt;0),CELL("ROW",A716),IF(AND(A716&lt;0,A714&gt;=0),CELL("ROW",A716),""))</f>
        <v>716</v>
      </c>
      <c r="R714" t="str">
        <f t="shared" ca="1" si="146"/>
        <v>716</v>
      </c>
      <c r="T714">
        <f>S716-S714</f>
        <v>0</v>
      </c>
      <c r="V714">
        <v>1</v>
      </c>
      <c r="W714" t="str">
        <f t="shared" si="152"/>
        <v/>
      </c>
    </row>
    <row r="715" spans="1:23" outlineLevel="1" x14ac:dyDescent="0.3">
      <c r="O715" s="1" t="s">
        <v>26</v>
      </c>
      <c r="P715">
        <f>SUBTOTAL(3,P692:P714)</f>
        <v>23</v>
      </c>
      <c r="V715">
        <v>23</v>
      </c>
      <c r="W715" t="str">
        <f t="shared" si="152"/>
        <v/>
      </c>
    </row>
    <row r="716" spans="1:23" outlineLevel="2" x14ac:dyDescent="0.3">
      <c r="A716">
        <v>-27.58</v>
      </c>
      <c r="I716" t="str">
        <f t="shared" si="140"/>
        <v/>
      </c>
      <c r="J716" t="str">
        <f t="shared" si="141"/>
        <v/>
      </c>
      <c r="K716" t="e">
        <f t="shared" ref="K716:K729" si="153">MATCH(J716,$A$1:$A$10041,0)</f>
        <v>#N/A</v>
      </c>
      <c r="L716">
        <f t="shared" si="142"/>
        <v>-27.58</v>
      </c>
      <c r="M716" t="str">
        <f t="shared" si="143"/>
        <v/>
      </c>
      <c r="N716" t="e">
        <f t="shared" ref="N716:N729" si="154">MATCH(M716,$A$1:$A$10041,0)</f>
        <v>#N/A</v>
      </c>
      <c r="P716">
        <f t="shared" si="144"/>
        <v>2</v>
      </c>
      <c r="Q716" t="str">
        <f t="shared" ca="1" si="145"/>
        <v/>
      </c>
      <c r="R716" t="str">
        <f t="shared" ca="1" si="146"/>
        <v/>
      </c>
      <c r="T716">
        <f t="shared" si="147"/>
        <v>0</v>
      </c>
      <c r="V716">
        <v>2</v>
      </c>
      <c r="W716" t="str">
        <f t="shared" si="152"/>
        <v/>
      </c>
    </row>
    <row r="717" spans="1:23" outlineLevel="2" x14ac:dyDescent="0.3">
      <c r="A717">
        <v>-95.94</v>
      </c>
      <c r="I717" t="str">
        <f t="shared" si="140"/>
        <v/>
      </c>
      <c r="J717" t="str">
        <f t="shared" si="141"/>
        <v/>
      </c>
      <c r="K717" t="e">
        <f t="shared" si="153"/>
        <v>#N/A</v>
      </c>
      <c r="L717">
        <f t="shared" si="142"/>
        <v>-95.94</v>
      </c>
      <c r="M717" t="str">
        <f t="shared" si="143"/>
        <v/>
      </c>
      <c r="N717" t="e">
        <f t="shared" si="154"/>
        <v>#N/A</v>
      </c>
      <c r="P717">
        <f t="shared" si="144"/>
        <v>2</v>
      </c>
      <c r="Q717" t="str">
        <f t="shared" ca="1" si="145"/>
        <v/>
      </c>
      <c r="R717" t="str">
        <f t="shared" ca="1" si="146"/>
        <v/>
      </c>
      <c r="T717">
        <f t="shared" si="147"/>
        <v>0</v>
      </c>
      <c r="V717">
        <v>2</v>
      </c>
      <c r="W717" t="str">
        <f t="shared" si="152"/>
        <v/>
      </c>
    </row>
    <row r="718" spans="1:23" outlineLevel="2" x14ac:dyDescent="0.3">
      <c r="A718">
        <v>-146.49</v>
      </c>
      <c r="I718" t="str">
        <f t="shared" si="140"/>
        <v/>
      </c>
      <c r="J718" t="str">
        <f t="shared" si="141"/>
        <v/>
      </c>
      <c r="K718" t="e">
        <f t="shared" si="153"/>
        <v>#N/A</v>
      </c>
      <c r="L718">
        <f t="shared" si="142"/>
        <v>-146.49</v>
      </c>
      <c r="M718" t="str">
        <f t="shared" si="143"/>
        <v/>
      </c>
      <c r="N718" t="e">
        <f t="shared" si="154"/>
        <v>#N/A</v>
      </c>
      <c r="P718">
        <f t="shared" si="144"/>
        <v>2</v>
      </c>
      <c r="Q718" t="str">
        <f t="shared" ca="1" si="145"/>
        <v/>
      </c>
      <c r="R718" t="str">
        <f t="shared" ca="1" si="146"/>
        <v/>
      </c>
      <c r="T718">
        <f t="shared" si="147"/>
        <v>0</v>
      </c>
      <c r="V718">
        <v>2</v>
      </c>
      <c r="W718" t="str">
        <f t="shared" si="152"/>
        <v/>
      </c>
    </row>
    <row r="719" spans="1:23" outlineLevel="2" x14ac:dyDescent="0.3">
      <c r="A719">
        <v>-180.99</v>
      </c>
      <c r="I719" t="str">
        <f t="shared" si="140"/>
        <v/>
      </c>
      <c r="J719" t="str">
        <f t="shared" si="141"/>
        <v/>
      </c>
      <c r="K719" t="e">
        <f t="shared" si="153"/>
        <v>#N/A</v>
      </c>
      <c r="L719">
        <f t="shared" si="142"/>
        <v>-180.99</v>
      </c>
      <c r="M719" t="str">
        <f t="shared" si="143"/>
        <v/>
      </c>
      <c r="N719" t="e">
        <f t="shared" si="154"/>
        <v>#N/A</v>
      </c>
      <c r="P719">
        <f t="shared" si="144"/>
        <v>2</v>
      </c>
      <c r="Q719" t="str">
        <f t="shared" ca="1" si="145"/>
        <v/>
      </c>
      <c r="R719" t="str">
        <f t="shared" ca="1" si="146"/>
        <v/>
      </c>
      <c r="T719">
        <f t="shared" si="147"/>
        <v>0</v>
      </c>
      <c r="V719">
        <v>2</v>
      </c>
      <c r="W719" t="str">
        <f t="shared" si="152"/>
        <v/>
      </c>
    </row>
    <row r="720" spans="1:23" outlineLevel="2" x14ac:dyDescent="0.3">
      <c r="A720">
        <v>-199.93</v>
      </c>
      <c r="I720" t="str">
        <f t="shared" si="140"/>
        <v/>
      </c>
      <c r="J720" t="str">
        <f t="shared" si="141"/>
        <v/>
      </c>
      <c r="K720" t="e">
        <f t="shared" si="153"/>
        <v>#N/A</v>
      </c>
      <c r="L720">
        <f t="shared" si="142"/>
        <v>-199.93</v>
      </c>
      <c r="M720">
        <f t="shared" si="143"/>
        <v>-202.54</v>
      </c>
      <c r="N720">
        <f t="shared" si="154"/>
        <v>721</v>
      </c>
      <c r="P720">
        <f t="shared" si="144"/>
        <v>2</v>
      </c>
      <c r="Q720" t="str">
        <f t="shared" ca="1" si="145"/>
        <v/>
      </c>
      <c r="R720" t="str">
        <f t="shared" ca="1" si="146"/>
        <v>721</v>
      </c>
      <c r="T720">
        <f t="shared" si="147"/>
        <v>0</v>
      </c>
      <c r="V720">
        <v>2</v>
      </c>
      <c r="W720" t="str">
        <f t="shared" si="152"/>
        <v/>
      </c>
    </row>
    <row r="721" spans="1:23" outlineLevel="2" x14ac:dyDescent="0.3">
      <c r="A721">
        <v>-202.54</v>
      </c>
      <c r="I721" t="str">
        <f t="shared" si="140"/>
        <v/>
      </c>
      <c r="J721" t="str">
        <f t="shared" si="141"/>
        <v/>
      </c>
      <c r="K721" t="e">
        <f t="shared" si="153"/>
        <v>#N/A</v>
      </c>
      <c r="L721">
        <f t="shared" si="142"/>
        <v>-202.54</v>
      </c>
      <c r="M721" t="str">
        <f t="shared" si="143"/>
        <v/>
      </c>
      <c r="N721" t="e">
        <f t="shared" si="154"/>
        <v>#N/A</v>
      </c>
      <c r="P721">
        <f t="shared" si="144"/>
        <v>2</v>
      </c>
      <c r="Q721" t="str">
        <f t="shared" ca="1" si="145"/>
        <v/>
      </c>
      <c r="R721" t="str">
        <f t="shared" ca="1" si="146"/>
        <v/>
      </c>
      <c r="T721">
        <f t="shared" si="147"/>
        <v>0</v>
      </c>
      <c r="V721">
        <v>2</v>
      </c>
      <c r="W721" t="str">
        <f t="shared" si="152"/>
        <v/>
      </c>
    </row>
    <row r="722" spans="1:23" outlineLevel="2" x14ac:dyDescent="0.3">
      <c r="A722">
        <v>-192.33</v>
      </c>
      <c r="I722" t="str">
        <f t="shared" si="140"/>
        <v/>
      </c>
      <c r="J722" t="str">
        <f t="shared" si="141"/>
        <v/>
      </c>
      <c r="K722" t="e">
        <f t="shared" si="153"/>
        <v>#N/A</v>
      </c>
      <c r="L722">
        <f t="shared" si="142"/>
        <v>-192.33</v>
      </c>
      <c r="M722" t="str">
        <f t="shared" si="143"/>
        <v/>
      </c>
      <c r="N722" t="e">
        <f t="shared" si="154"/>
        <v>#N/A</v>
      </c>
      <c r="P722">
        <f t="shared" si="144"/>
        <v>2</v>
      </c>
      <c r="Q722" t="str">
        <f t="shared" ca="1" si="145"/>
        <v/>
      </c>
      <c r="R722" t="str">
        <f t="shared" ca="1" si="146"/>
        <v/>
      </c>
      <c r="T722">
        <f t="shared" si="147"/>
        <v>0</v>
      </c>
      <c r="V722">
        <v>2</v>
      </c>
      <c r="W722" t="str">
        <f t="shared" si="152"/>
        <v/>
      </c>
    </row>
    <row r="723" spans="1:23" outlineLevel="2" x14ac:dyDescent="0.3">
      <c r="A723">
        <v>-173.69</v>
      </c>
      <c r="I723" t="str">
        <f t="shared" si="140"/>
        <v/>
      </c>
      <c r="J723" t="str">
        <f t="shared" si="141"/>
        <v/>
      </c>
      <c r="K723" t="e">
        <f t="shared" si="153"/>
        <v>#N/A</v>
      </c>
      <c r="L723">
        <f t="shared" si="142"/>
        <v>-173.69</v>
      </c>
      <c r="M723" t="str">
        <f t="shared" si="143"/>
        <v/>
      </c>
      <c r="N723" t="e">
        <f t="shared" si="154"/>
        <v>#N/A</v>
      </c>
      <c r="P723">
        <f t="shared" si="144"/>
        <v>2</v>
      </c>
      <c r="Q723" t="str">
        <f t="shared" ca="1" si="145"/>
        <v/>
      </c>
      <c r="R723" t="str">
        <f t="shared" ca="1" si="146"/>
        <v/>
      </c>
      <c r="T723">
        <f t="shared" si="147"/>
        <v>0</v>
      </c>
      <c r="V723">
        <v>2</v>
      </c>
      <c r="W723" t="str">
        <f t="shared" si="152"/>
        <v/>
      </c>
    </row>
    <row r="724" spans="1:23" outlineLevel="2" x14ac:dyDescent="0.3">
      <c r="A724">
        <v>-149.58000000000001</v>
      </c>
      <c r="I724" t="str">
        <f t="shared" si="140"/>
        <v/>
      </c>
      <c r="J724" t="str">
        <f t="shared" si="141"/>
        <v/>
      </c>
      <c r="K724" t="e">
        <f t="shared" si="153"/>
        <v>#N/A</v>
      </c>
      <c r="L724">
        <f t="shared" si="142"/>
        <v>-149.58000000000001</v>
      </c>
      <c r="M724" t="str">
        <f t="shared" si="143"/>
        <v/>
      </c>
      <c r="N724" t="e">
        <f t="shared" si="154"/>
        <v>#N/A</v>
      </c>
      <c r="P724">
        <f t="shared" si="144"/>
        <v>2</v>
      </c>
      <c r="Q724" t="str">
        <f t="shared" ca="1" si="145"/>
        <v/>
      </c>
      <c r="R724" t="str">
        <f t="shared" ca="1" si="146"/>
        <v/>
      </c>
      <c r="T724">
        <f t="shared" si="147"/>
        <v>0</v>
      </c>
      <c r="V724">
        <v>2</v>
      </c>
      <c r="W724" t="str">
        <f t="shared" si="152"/>
        <v/>
      </c>
    </row>
    <row r="725" spans="1:23" outlineLevel="2" x14ac:dyDescent="0.3">
      <c r="A725">
        <v>-122.1</v>
      </c>
      <c r="I725" t="str">
        <f t="shared" si="140"/>
        <v/>
      </c>
      <c r="J725" t="str">
        <f t="shared" si="141"/>
        <v/>
      </c>
      <c r="K725" t="e">
        <f t="shared" si="153"/>
        <v>#N/A</v>
      </c>
      <c r="L725">
        <f t="shared" si="142"/>
        <v>-122.1</v>
      </c>
      <c r="M725" t="str">
        <f t="shared" si="143"/>
        <v/>
      </c>
      <c r="N725" t="e">
        <f t="shared" si="154"/>
        <v>#N/A</v>
      </c>
      <c r="P725">
        <f t="shared" si="144"/>
        <v>2</v>
      </c>
      <c r="Q725" t="str">
        <f t="shared" ca="1" si="145"/>
        <v/>
      </c>
      <c r="R725" t="str">
        <f t="shared" ca="1" si="146"/>
        <v/>
      </c>
      <c r="T725">
        <f t="shared" si="147"/>
        <v>0</v>
      </c>
      <c r="V725">
        <v>2</v>
      </c>
      <c r="W725" t="str">
        <f t="shared" si="152"/>
        <v/>
      </c>
    </row>
    <row r="726" spans="1:23" outlineLevel="2" x14ac:dyDescent="0.3">
      <c r="A726">
        <v>-92.9</v>
      </c>
      <c r="I726" t="str">
        <f t="shared" si="140"/>
        <v/>
      </c>
      <c r="J726" t="str">
        <f t="shared" si="141"/>
        <v/>
      </c>
      <c r="K726" t="e">
        <f t="shared" si="153"/>
        <v>#N/A</v>
      </c>
      <c r="L726">
        <f t="shared" si="142"/>
        <v>-92.9</v>
      </c>
      <c r="M726" t="str">
        <f t="shared" si="143"/>
        <v/>
      </c>
      <c r="N726" t="e">
        <f t="shared" si="154"/>
        <v>#N/A</v>
      </c>
      <c r="P726">
        <f t="shared" si="144"/>
        <v>2</v>
      </c>
      <c r="Q726" t="str">
        <f t="shared" ca="1" si="145"/>
        <v/>
      </c>
      <c r="R726" t="str">
        <f t="shared" ca="1" si="146"/>
        <v/>
      </c>
      <c r="T726">
        <f t="shared" si="147"/>
        <v>0</v>
      </c>
      <c r="V726">
        <v>2</v>
      </c>
      <c r="W726" t="str">
        <f t="shared" si="152"/>
        <v/>
      </c>
    </row>
    <row r="727" spans="1:23" outlineLevel="2" x14ac:dyDescent="0.3">
      <c r="A727">
        <v>-64.44</v>
      </c>
      <c r="I727" t="str">
        <f t="shared" si="140"/>
        <v/>
      </c>
      <c r="J727" t="str">
        <f t="shared" si="141"/>
        <v/>
      </c>
      <c r="K727" t="e">
        <f t="shared" si="153"/>
        <v>#N/A</v>
      </c>
      <c r="L727">
        <f t="shared" si="142"/>
        <v>-64.44</v>
      </c>
      <c r="M727" t="str">
        <f t="shared" si="143"/>
        <v/>
      </c>
      <c r="N727" t="e">
        <f t="shared" si="154"/>
        <v>#N/A</v>
      </c>
      <c r="P727">
        <f t="shared" si="144"/>
        <v>2</v>
      </c>
      <c r="Q727" t="str">
        <f t="shared" ca="1" si="145"/>
        <v/>
      </c>
      <c r="R727" t="str">
        <f t="shared" ca="1" si="146"/>
        <v/>
      </c>
      <c r="T727">
        <f t="shared" si="147"/>
        <v>0</v>
      </c>
      <c r="V727">
        <v>2</v>
      </c>
      <c r="W727" t="str">
        <f t="shared" si="152"/>
        <v/>
      </c>
    </row>
    <row r="728" spans="1:23" outlineLevel="2" x14ac:dyDescent="0.3">
      <c r="A728">
        <v>-39.39</v>
      </c>
      <c r="I728" t="str">
        <f t="shared" si="140"/>
        <v/>
      </c>
      <c r="J728" t="str">
        <f>IF(AND(I729&gt;I728,I729&gt;I731,I729&gt;$D$5),I729,"")</f>
        <v/>
      </c>
      <c r="K728" t="e">
        <f t="shared" si="153"/>
        <v>#N/A</v>
      </c>
      <c r="L728">
        <f t="shared" si="142"/>
        <v>-39.39</v>
      </c>
      <c r="M728" t="str">
        <f>IF(AND(L729&lt;L728,L729&lt;L731,L729&lt;$G$5),L729,"")</f>
        <v/>
      </c>
      <c r="N728" t="e">
        <f t="shared" si="154"/>
        <v>#N/A</v>
      </c>
      <c r="P728">
        <f t="shared" si="144"/>
        <v>2</v>
      </c>
      <c r="Q728" t="str">
        <f t="shared" ca="1" si="145"/>
        <v/>
      </c>
      <c r="R728" t="str">
        <f t="shared" ca="1" si="146"/>
        <v/>
      </c>
      <c r="T728">
        <f t="shared" si="147"/>
        <v>0</v>
      </c>
      <c r="V728">
        <v>2</v>
      </c>
      <c r="W728" t="str">
        <f t="shared" si="152"/>
        <v/>
      </c>
    </row>
    <row r="729" spans="1:23" outlineLevel="2" x14ac:dyDescent="0.3">
      <c r="A729">
        <v>-18.57</v>
      </c>
      <c r="I729" t="str">
        <f t="shared" si="140"/>
        <v/>
      </c>
      <c r="J729" t="str">
        <f>IF(AND(I731&gt;I729,I731&gt;I732,I731&gt;$D$5),I731,"")</f>
        <v/>
      </c>
      <c r="K729" t="e">
        <f t="shared" si="153"/>
        <v>#N/A</v>
      </c>
      <c r="L729">
        <f t="shared" si="142"/>
        <v>-18.57</v>
      </c>
      <c r="M729" t="str">
        <f>IF(AND(L731&lt;L729,L731&lt;L732,L731&lt;$G$5),L731,"")</f>
        <v/>
      </c>
      <c r="N729" t="e">
        <f t="shared" si="154"/>
        <v>#N/A</v>
      </c>
      <c r="P729">
        <f t="shared" si="144"/>
        <v>2</v>
      </c>
      <c r="Q729">
        <f ca="1">IF(AND(A731&gt;=0,A729&lt;0),CELL("ROW",A731),IF(AND(A731&lt;0,A729&gt;=0),CELL("ROW",A731),""))</f>
        <v>731</v>
      </c>
      <c r="R729" t="str">
        <f t="shared" ca="1" si="146"/>
        <v>731</v>
      </c>
      <c r="T729">
        <f>S731-S729</f>
        <v>0</v>
      </c>
      <c r="V729">
        <v>2</v>
      </c>
      <c r="W729" t="str">
        <f t="shared" si="152"/>
        <v/>
      </c>
    </row>
    <row r="730" spans="1:23" outlineLevel="1" x14ac:dyDescent="0.3">
      <c r="O730" s="1" t="s">
        <v>27</v>
      </c>
      <c r="P730">
        <f>SUBTOTAL(3,P716:P729)</f>
        <v>14</v>
      </c>
      <c r="V730">
        <v>14</v>
      </c>
      <c r="W730">
        <f t="shared" si="152"/>
        <v>14</v>
      </c>
    </row>
    <row r="731" spans="1:23" outlineLevel="2" x14ac:dyDescent="0.3">
      <c r="A731">
        <v>14.23</v>
      </c>
      <c r="I731">
        <f t="shared" si="140"/>
        <v>14.23</v>
      </c>
      <c r="J731" t="str">
        <f t="shared" si="141"/>
        <v/>
      </c>
      <c r="K731" t="e">
        <f t="shared" ref="K731:K772" si="155">MATCH(J731,$A$1:$A$10041,0)</f>
        <v>#N/A</v>
      </c>
      <c r="L731" t="str">
        <f t="shared" si="142"/>
        <v/>
      </c>
      <c r="M731" t="str">
        <f t="shared" si="143"/>
        <v/>
      </c>
      <c r="N731" t="e">
        <f t="shared" ref="N731:N772" si="156">MATCH(M731,$A$1:$A$10041,0)</f>
        <v>#N/A</v>
      </c>
      <c r="P731">
        <f t="shared" si="144"/>
        <v>1</v>
      </c>
      <c r="Q731" t="str">
        <f t="shared" ca="1" si="145"/>
        <v/>
      </c>
      <c r="R731" t="str">
        <f t="shared" ca="1" si="146"/>
        <v/>
      </c>
      <c r="T731">
        <f t="shared" si="147"/>
        <v>0</v>
      </c>
      <c r="V731">
        <v>1</v>
      </c>
      <c r="W731" t="str">
        <f t="shared" si="152"/>
        <v/>
      </c>
    </row>
    <row r="732" spans="1:23" outlineLevel="2" x14ac:dyDescent="0.3">
      <c r="A732">
        <v>30.97</v>
      </c>
      <c r="I732">
        <f t="shared" si="140"/>
        <v>30.97</v>
      </c>
      <c r="J732" t="str">
        <f t="shared" si="141"/>
        <v/>
      </c>
      <c r="K732" t="e">
        <f t="shared" si="155"/>
        <v>#N/A</v>
      </c>
      <c r="L732" t="str">
        <f t="shared" si="142"/>
        <v/>
      </c>
      <c r="M732" t="str">
        <f t="shared" si="143"/>
        <v/>
      </c>
      <c r="N732" t="e">
        <f t="shared" si="156"/>
        <v>#N/A</v>
      </c>
      <c r="P732">
        <f t="shared" si="144"/>
        <v>1</v>
      </c>
      <c r="Q732" t="str">
        <f t="shared" ca="1" si="145"/>
        <v/>
      </c>
      <c r="R732" t="str">
        <f t="shared" ca="1" si="146"/>
        <v/>
      </c>
      <c r="T732">
        <f t="shared" si="147"/>
        <v>0</v>
      </c>
      <c r="V732">
        <v>1</v>
      </c>
      <c r="W732" t="str">
        <f t="shared" si="152"/>
        <v/>
      </c>
    </row>
    <row r="733" spans="1:23" outlineLevel="2" x14ac:dyDescent="0.3">
      <c r="A733">
        <v>45.93</v>
      </c>
      <c r="I733">
        <f t="shared" ref="I733:I797" si="157">IF(A733&gt;0,A733,"")</f>
        <v>45.93</v>
      </c>
      <c r="J733" t="str">
        <f t="shared" ref="J733:J797" si="158">IF(AND(I734&gt;I733,I734&gt;I735,I734&gt;$D$5),I734,"")</f>
        <v/>
      </c>
      <c r="K733" t="e">
        <f t="shared" si="155"/>
        <v>#N/A</v>
      </c>
      <c r="L733" t="str">
        <f t="shared" ref="L733:L797" si="159">IF(A733&lt;0,A733,"")</f>
        <v/>
      </c>
      <c r="M733" t="str">
        <f t="shared" ref="M733:M797" si="160">IF(AND(L734&lt;L733,L734&lt;L735,L734&lt;$G$5),L734,"")</f>
        <v/>
      </c>
      <c r="N733" t="e">
        <f t="shared" si="156"/>
        <v>#N/A</v>
      </c>
      <c r="P733">
        <f t="shared" ref="P733:P797" si="161">IF(A733&gt;0,1,2)</f>
        <v>1</v>
      </c>
      <c r="Q733" t="str">
        <f t="shared" ref="Q733:Q797" ca="1" si="162">IF(AND(A734&gt;=0,A733&lt;0),CELL("ROW",A734),IF(AND(A734&lt;0,A733&gt;=0),CELL("ROW",A734),""))</f>
        <v/>
      </c>
      <c r="R733" t="str">
        <f t="shared" ref="R733:R797" ca="1" si="163">IF(ISNUMBER(K733),IF(INT(K733)=K733,K733,""),"")&amp;IF(ISNUMBER(N733),IF(INT(N733)=N733,N733,""),"")&amp;IF(ISNUMBER(Q733),IF(INT(Q733)=Q733,Q733,""),"")</f>
        <v/>
      </c>
      <c r="T733">
        <f t="shared" ref="T733:T797" si="164">S734-S733</f>
        <v>0</v>
      </c>
      <c r="V733">
        <v>1</v>
      </c>
      <c r="W733" t="str">
        <f t="shared" si="152"/>
        <v/>
      </c>
    </row>
    <row r="734" spans="1:23" outlineLevel="2" x14ac:dyDescent="0.3">
      <c r="A734">
        <v>54.16</v>
      </c>
      <c r="I734">
        <f t="shared" si="157"/>
        <v>54.16</v>
      </c>
      <c r="J734" t="str">
        <f t="shared" si="158"/>
        <v/>
      </c>
      <c r="K734" t="e">
        <f t="shared" si="155"/>
        <v>#N/A</v>
      </c>
      <c r="L734" t="str">
        <f t="shared" si="159"/>
        <v/>
      </c>
      <c r="M734" t="str">
        <f t="shared" si="160"/>
        <v/>
      </c>
      <c r="N734" t="e">
        <f t="shared" si="156"/>
        <v>#N/A</v>
      </c>
      <c r="P734">
        <f t="shared" si="161"/>
        <v>1</v>
      </c>
      <c r="Q734" t="str">
        <f t="shared" ca="1" si="162"/>
        <v/>
      </c>
      <c r="R734" t="str">
        <f t="shared" ca="1" si="163"/>
        <v/>
      </c>
      <c r="T734">
        <f t="shared" si="164"/>
        <v>0</v>
      </c>
      <c r="V734">
        <v>1</v>
      </c>
      <c r="W734" t="str">
        <f t="shared" si="152"/>
        <v/>
      </c>
    </row>
    <row r="735" spans="1:23" outlineLevel="2" x14ac:dyDescent="0.3">
      <c r="A735">
        <v>58.11</v>
      </c>
      <c r="I735">
        <f t="shared" si="157"/>
        <v>58.11</v>
      </c>
      <c r="J735" t="str">
        <f t="shared" si="158"/>
        <v/>
      </c>
      <c r="K735" t="e">
        <f t="shared" si="155"/>
        <v>#N/A</v>
      </c>
      <c r="L735" t="str">
        <f t="shared" si="159"/>
        <v/>
      </c>
      <c r="M735" t="str">
        <f t="shared" si="160"/>
        <v/>
      </c>
      <c r="N735" t="e">
        <f t="shared" si="156"/>
        <v>#N/A</v>
      </c>
      <c r="P735">
        <f t="shared" si="161"/>
        <v>1</v>
      </c>
      <c r="Q735" t="str">
        <f t="shared" ca="1" si="162"/>
        <v/>
      </c>
      <c r="R735" t="str">
        <f t="shared" ca="1" si="163"/>
        <v/>
      </c>
      <c r="T735">
        <f t="shared" si="164"/>
        <v>0</v>
      </c>
      <c r="V735">
        <v>1</v>
      </c>
      <c r="W735" t="str">
        <f t="shared" si="152"/>
        <v/>
      </c>
    </row>
    <row r="736" spans="1:23" outlineLevel="2" x14ac:dyDescent="0.3">
      <c r="A736">
        <v>61.9</v>
      </c>
      <c r="I736">
        <f t="shared" si="157"/>
        <v>61.9</v>
      </c>
      <c r="J736" t="str">
        <f t="shared" si="158"/>
        <v/>
      </c>
      <c r="K736" t="e">
        <f t="shared" si="155"/>
        <v>#N/A</v>
      </c>
      <c r="L736" t="str">
        <f t="shared" si="159"/>
        <v/>
      </c>
      <c r="M736" t="str">
        <f t="shared" si="160"/>
        <v/>
      </c>
      <c r="N736" t="e">
        <f t="shared" si="156"/>
        <v>#N/A</v>
      </c>
      <c r="P736">
        <f t="shared" si="161"/>
        <v>1</v>
      </c>
      <c r="Q736" t="str">
        <f t="shared" ca="1" si="162"/>
        <v/>
      </c>
      <c r="R736" t="str">
        <f t="shared" ca="1" si="163"/>
        <v/>
      </c>
      <c r="T736">
        <f t="shared" si="164"/>
        <v>0</v>
      </c>
      <c r="V736">
        <v>1</v>
      </c>
      <c r="W736" t="str">
        <f t="shared" si="152"/>
        <v/>
      </c>
    </row>
    <row r="737" spans="1:23" outlineLevel="2" x14ac:dyDescent="0.3">
      <c r="A737">
        <v>64.900000000000006</v>
      </c>
      <c r="I737">
        <f t="shared" si="157"/>
        <v>64.900000000000006</v>
      </c>
      <c r="J737" t="str">
        <f t="shared" si="158"/>
        <v/>
      </c>
      <c r="K737" t="e">
        <f t="shared" si="155"/>
        <v>#N/A</v>
      </c>
      <c r="L737" t="str">
        <f t="shared" si="159"/>
        <v/>
      </c>
      <c r="M737" t="str">
        <f t="shared" si="160"/>
        <v/>
      </c>
      <c r="N737" t="e">
        <f t="shared" si="156"/>
        <v>#N/A</v>
      </c>
      <c r="P737">
        <f t="shared" si="161"/>
        <v>1</v>
      </c>
      <c r="Q737" t="str">
        <f t="shared" ca="1" si="162"/>
        <v/>
      </c>
      <c r="R737" t="str">
        <f t="shared" ca="1" si="163"/>
        <v/>
      </c>
      <c r="T737">
        <f t="shared" si="164"/>
        <v>0</v>
      </c>
      <c r="V737">
        <v>1</v>
      </c>
      <c r="W737" t="str">
        <f t="shared" si="152"/>
        <v/>
      </c>
    </row>
    <row r="738" spans="1:23" outlineLevel="2" x14ac:dyDescent="0.3">
      <c r="A738">
        <v>66.260000000000005</v>
      </c>
      <c r="I738">
        <f t="shared" si="157"/>
        <v>66.260000000000005</v>
      </c>
      <c r="J738" t="str">
        <f t="shared" si="158"/>
        <v/>
      </c>
      <c r="K738" t="e">
        <f t="shared" si="155"/>
        <v>#N/A</v>
      </c>
      <c r="L738" t="str">
        <f t="shared" si="159"/>
        <v/>
      </c>
      <c r="M738" t="str">
        <f t="shared" si="160"/>
        <v/>
      </c>
      <c r="N738" t="e">
        <f t="shared" si="156"/>
        <v>#N/A</v>
      </c>
      <c r="P738">
        <f t="shared" si="161"/>
        <v>1</v>
      </c>
      <c r="Q738" t="str">
        <f t="shared" ca="1" si="162"/>
        <v/>
      </c>
      <c r="R738" t="str">
        <f t="shared" ca="1" si="163"/>
        <v/>
      </c>
      <c r="T738">
        <f t="shared" si="164"/>
        <v>0</v>
      </c>
      <c r="V738">
        <v>1</v>
      </c>
      <c r="W738" t="str">
        <f t="shared" si="152"/>
        <v/>
      </c>
    </row>
    <row r="739" spans="1:23" outlineLevel="2" x14ac:dyDescent="0.3">
      <c r="A739">
        <v>67.42</v>
      </c>
      <c r="I739">
        <f t="shared" si="157"/>
        <v>67.42</v>
      </c>
      <c r="J739" t="str">
        <f t="shared" si="158"/>
        <v/>
      </c>
      <c r="K739" t="e">
        <f t="shared" si="155"/>
        <v>#N/A</v>
      </c>
      <c r="L739" t="str">
        <f t="shared" si="159"/>
        <v/>
      </c>
      <c r="M739" t="str">
        <f t="shared" si="160"/>
        <v/>
      </c>
      <c r="N739" t="e">
        <f t="shared" si="156"/>
        <v>#N/A</v>
      </c>
      <c r="P739">
        <f t="shared" si="161"/>
        <v>1</v>
      </c>
      <c r="Q739" t="str">
        <f t="shared" ca="1" si="162"/>
        <v/>
      </c>
      <c r="R739" t="str">
        <f t="shared" ca="1" si="163"/>
        <v/>
      </c>
      <c r="T739">
        <f t="shared" si="164"/>
        <v>0</v>
      </c>
      <c r="V739">
        <v>1</v>
      </c>
      <c r="W739" t="str">
        <f t="shared" si="152"/>
        <v/>
      </c>
    </row>
    <row r="740" spans="1:23" outlineLevel="2" x14ac:dyDescent="0.3">
      <c r="A740">
        <v>69</v>
      </c>
      <c r="I740">
        <f t="shared" si="157"/>
        <v>69</v>
      </c>
      <c r="J740" t="str">
        <f t="shared" si="158"/>
        <v/>
      </c>
      <c r="K740" t="e">
        <f t="shared" si="155"/>
        <v>#N/A</v>
      </c>
      <c r="L740" t="str">
        <f t="shared" si="159"/>
        <v/>
      </c>
      <c r="M740" t="str">
        <f t="shared" si="160"/>
        <v/>
      </c>
      <c r="N740" t="e">
        <f t="shared" si="156"/>
        <v>#N/A</v>
      </c>
      <c r="P740">
        <f t="shared" si="161"/>
        <v>1</v>
      </c>
      <c r="Q740" t="str">
        <f t="shared" ca="1" si="162"/>
        <v/>
      </c>
      <c r="R740" t="str">
        <f t="shared" ca="1" si="163"/>
        <v/>
      </c>
      <c r="T740">
        <f t="shared" si="164"/>
        <v>0</v>
      </c>
      <c r="V740">
        <v>1</v>
      </c>
      <c r="W740" t="str">
        <f t="shared" si="152"/>
        <v/>
      </c>
    </row>
    <row r="741" spans="1:23" outlineLevel="2" x14ac:dyDescent="0.3">
      <c r="A741">
        <v>69.099999999999994</v>
      </c>
      <c r="I741">
        <f t="shared" si="157"/>
        <v>69.099999999999994</v>
      </c>
      <c r="J741" t="str">
        <f t="shared" si="158"/>
        <v/>
      </c>
      <c r="K741" t="e">
        <f t="shared" si="155"/>
        <v>#N/A</v>
      </c>
      <c r="L741" t="str">
        <f t="shared" si="159"/>
        <v/>
      </c>
      <c r="M741" t="str">
        <f t="shared" si="160"/>
        <v/>
      </c>
      <c r="N741" t="e">
        <f t="shared" si="156"/>
        <v>#N/A</v>
      </c>
      <c r="P741">
        <f t="shared" si="161"/>
        <v>1</v>
      </c>
      <c r="Q741" t="str">
        <f t="shared" ca="1" si="162"/>
        <v/>
      </c>
      <c r="R741" t="str">
        <f t="shared" ca="1" si="163"/>
        <v/>
      </c>
      <c r="T741">
        <f t="shared" si="164"/>
        <v>0</v>
      </c>
      <c r="V741">
        <v>1</v>
      </c>
      <c r="W741" t="str">
        <f t="shared" si="152"/>
        <v/>
      </c>
    </row>
    <row r="742" spans="1:23" outlineLevel="2" x14ac:dyDescent="0.3">
      <c r="A742">
        <v>66.540000000000006</v>
      </c>
      <c r="I742">
        <f t="shared" si="157"/>
        <v>66.540000000000006</v>
      </c>
      <c r="J742" t="str">
        <f t="shared" si="158"/>
        <v/>
      </c>
      <c r="K742" t="e">
        <f t="shared" si="155"/>
        <v>#N/A</v>
      </c>
      <c r="L742" t="str">
        <f t="shared" si="159"/>
        <v/>
      </c>
      <c r="M742" t="str">
        <f t="shared" si="160"/>
        <v/>
      </c>
      <c r="N742" t="e">
        <f t="shared" si="156"/>
        <v>#N/A</v>
      </c>
      <c r="P742">
        <f t="shared" si="161"/>
        <v>1</v>
      </c>
      <c r="Q742" t="str">
        <f t="shared" ca="1" si="162"/>
        <v/>
      </c>
      <c r="R742" t="str">
        <f t="shared" ca="1" si="163"/>
        <v/>
      </c>
      <c r="T742">
        <f t="shared" si="164"/>
        <v>0</v>
      </c>
      <c r="V742">
        <v>1</v>
      </c>
      <c r="W742" t="str">
        <f t="shared" si="152"/>
        <v/>
      </c>
    </row>
    <row r="743" spans="1:23" outlineLevel="2" x14ac:dyDescent="0.3">
      <c r="A743">
        <v>63.66</v>
      </c>
      <c r="I743">
        <f t="shared" si="157"/>
        <v>63.66</v>
      </c>
      <c r="J743" t="str">
        <f t="shared" si="158"/>
        <v/>
      </c>
      <c r="K743" t="e">
        <f t="shared" si="155"/>
        <v>#N/A</v>
      </c>
      <c r="L743" t="str">
        <f t="shared" si="159"/>
        <v/>
      </c>
      <c r="M743" t="str">
        <f t="shared" si="160"/>
        <v/>
      </c>
      <c r="N743" t="e">
        <f t="shared" si="156"/>
        <v>#N/A</v>
      </c>
      <c r="P743">
        <f t="shared" si="161"/>
        <v>1</v>
      </c>
      <c r="Q743" t="str">
        <f t="shared" ca="1" si="162"/>
        <v/>
      </c>
      <c r="R743" t="str">
        <f t="shared" ca="1" si="163"/>
        <v/>
      </c>
      <c r="T743">
        <f t="shared" si="164"/>
        <v>0</v>
      </c>
      <c r="V743">
        <v>1</v>
      </c>
      <c r="W743" t="str">
        <f t="shared" si="152"/>
        <v/>
      </c>
    </row>
    <row r="744" spans="1:23" outlineLevel="2" x14ac:dyDescent="0.3">
      <c r="A744">
        <v>62.89</v>
      </c>
      <c r="I744">
        <f t="shared" si="157"/>
        <v>62.89</v>
      </c>
      <c r="J744" t="str">
        <f t="shared" si="158"/>
        <v/>
      </c>
      <c r="K744" t="e">
        <f t="shared" si="155"/>
        <v>#N/A</v>
      </c>
      <c r="L744" t="str">
        <f t="shared" si="159"/>
        <v/>
      </c>
      <c r="M744" t="str">
        <f t="shared" si="160"/>
        <v/>
      </c>
      <c r="N744" t="e">
        <f t="shared" si="156"/>
        <v>#N/A</v>
      </c>
      <c r="P744">
        <f t="shared" si="161"/>
        <v>1</v>
      </c>
      <c r="Q744" t="str">
        <f t="shared" ca="1" si="162"/>
        <v/>
      </c>
      <c r="R744" t="str">
        <f t="shared" ca="1" si="163"/>
        <v/>
      </c>
      <c r="T744">
        <f t="shared" si="164"/>
        <v>0</v>
      </c>
      <c r="V744">
        <v>1</v>
      </c>
      <c r="W744" t="str">
        <f t="shared" si="152"/>
        <v/>
      </c>
    </row>
    <row r="745" spans="1:23" outlineLevel="2" x14ac:dyDescent="0.3">
      <c r="A745">
        <v>61.68</v>
      </c>
      <c r="I745">
        <f t="shared" si="157"/>
        <v>61.68</v>
      </c>
      <c r="J745" t="str">
        <f t="shared" si="158"/>
        <v/>
      </c>
      <c r="K745" t="e">
        <f t="shared" si="155"/>
        <v>#N/A</v>
      </c>
      <c r="L745" t="str">
        <f t="shared" si="159"/>
        <v/>
      </c>
      <c r="M745" t="str">
        <f t="shared" si="160"/>
        <v/>
      </c>
      <c r="N745" t="e">
        <f t="shared" si="156"/>
        <v>#N/A</v>
      </c>
      <c r="P745">
        <f t="shared" si="161"/>
        <v>1</v>
      </c>
      <c r="Q745" t="str">
        <f t="shared" ca="1" si="162"/>
        <v/>
      </c>
      <c r="R745" t="str">
        <f t="shared" ca="1" si="163"/>
        <v/>
      </c>
      <c r="T745">
        <f t="shared" si="164"/>
        <v>0</v>
      </c>
      <c r="V745">
        <v>1</v>
      </c>
      <c r="W745" t="str">
        <f t="shared" si="152"/>
        <v/>
      </c>
    </row>
    <row r="746" spans="1:23" outlineLevel="2" x14ac:dyDescent="0.3">
      <c r="A746">
        <v>57.72</v>
      </c>
      <c r="I746">
        <f t="shared" si="157"/>
        <v>57.72</v>
      </c>
      <c r="J746" t="str">
        <f t="shared" si="158"/>
        <v/>
      </c>
      <c r="K746" t="e">
        <f t="shared" si="155"/>
        <v>#N/A</v>
      </c>
      <c r="L746" t="str">
        <f t="shared" si="159"/>
        <v/>
      </c>
      <c r="M746" t="str">
        <f t="shared" si="160"/>
        <v/>
      </c>
      <c r="N746" t="e">
        <f t="shared" si="156"/>
        <v>#N/A</v>
      </c>
      <c r="P746">
        <f t="shared" si="161"/>
        <v>1</v>
      </c>
      <c r="Q746" t="str">
        <f t="shared" ca="1" si="162"/>
        <v/>
      </c>
      <c r="R746" t="str">
        <f t="shared" ca="1" si="163"/>
        <v/>
      </c>
      <c r="T746">
        <f t="shared" si="164"/>
        <v>0</v>
      </c>
      <c r="V746">
        <v>1</v>
      </c>
      <c r="W746" t="str">
        <f t="shared" si="152"/>
        <v/>
      </c>
    </row>
    <row r="747" spans="1:23" outlineLevel="2" x14ac:dyDescent="0.3">
      <c r="A747">
        <v>52.65</v>
      </c>
      <c r="I747">
        <f t="shared" si="157"/>
        <v>52.65</v>
      </c>
      <c r="J747" t="str">
        <f t="shared" si="158"/>
        <v/>
      </c>
      <c r="K747" t="e">
        <f t="shared" si="155"/>
        <v>#N/A</v>
      </c>
      <c r="L747" t="str">
        <f t="shared" si="159"/>
        <v/>
      </c>
      <c r="M747" t="str">
        <f t="shared" si="160"/>
        <v/>
      </c>
      <c r="N747" t="e">
        <f t="shared" si="156"/>
        <v>#N/A</v>
      </c>
      <c r="P747">
        <f t="shared" si="161"/>
        <v>1</v>
      </c>
      <c r="Q747" t="str">
        <f t="shared" ca="1" si="162"/>
        <v/>
      </c>
      <c r="R747" t="str">
        <f t="shared" ca="1" si="163"/>
        <v/>
      </c>
      <c r="T747">
        <f t="shared" si="164"/>
        <v>0</v>
      </c>
      <c r="V747">
        <v>1</v>
      </c>
      <c r="W747" t="str">
        <f t="shared" si="152"/>
        <v/>
      </c>
    </row>
    <row r="748" spans="1:23" outlineLevel="2" x14ac:dyDescent="0.3">
      <c r="A748">
        <v>48.99</v>
      </c>
      <c r="I748">
        <f t="shared" si="157"/>
        <v>48.99</v>
      </c>
      <c r="J748" t="str">
        <f t="shared" si="158"/>
        <v/>
      </c>
      <c r="K748" t="e">
        <f t="shared" si="155"/>
        <v>#N/A</v>
      </c>
      <c r="L748" t="str">
        <f t="shared" si="159"/>
        <v/>
      </c>
      <c r="M748" t="str">
        <f t="shared" si="160"/>
        <v/>
      </c>
      <c r="N748" t="e">
        <f t="shared" si="156"/>
        <v>#N/A</v>
      </c>
      <c r="P748">
        <f t="shared" si="161"/>
        <v>1</v>
      </c>
      <c r="Q748" t="str">
        <f t="shared" ca="1" si="162"/>
        <v/>
      </c>
      <c r="R748" t="str">
        <f t="shared" ca="1" si="163"/>
        <v/>
      </c>
      <c r="T748">
        <f t="shared" si="164"/>
        <v>0</v>
      </c>
      <c r="V748">
        <v>1</v>
      </c>
      <c r="W748" t="str">
        <f t="shared" si="152"/>
        <v/>
      </c>
    </row>
    <row r="749" spans="1:23" outlineLevel="2" x14ac:dyDescent="0.3">
      <c r="A749">
        <v>46.29</v>
      </c>
      <c r="I749">
        <f t="shared" si="157"/>
        <v>46.29</v>
      </c>
      <c r="J749" t="str">
        <f t="shared" si="158"/>
        <v/>
      </c>
      <c r="K749" t="e">
        <f t="shared" si="155"/>
        <v>#N/A</v>
      </c>
      <c r="L749" t="str">
        <f t="shared" si="159"/>
        <v/>
      </c>
      <c r="M749" t="str">
        <f t="shared" si="160"/>
        <v/>
      </c>
      <c r="N749" t="e">
        <f t="shared" si="156"/>
        <v>#N/A</v>
      </c>
      <c r="P749">
        <f t="shared" si="161"/>
        <v>1</v>
      </c>
      <c r="Q749" t="str">
        <f t="shared" ca="1" si="162"/>
        <v/>
      </c>
      <c r="R749" t="str">
        <f t="shared" ca="1" si="163"/>
        <v/>
      </c>
      <c r="T749">
        <f t="shared" si="164"/>
        <v>0</v>
      </c>
      <c r="V749">
        <v>1</v>
      </c>
      <c r="W749" t="str">
        <f t="shared" si="152"/>
        <v/>
      </c>
    </row>
    <row r="750" spans="1:23" outlineLevel="2" x14ac:dyDescent="0.3">
      <c r="A750">
        <v>43.63</v>
      </c>
      <c r="I750">
        <f t="shared" si="157"/>
        <v>43.63</v>
      </c>
      <c r="J750" t="str">
        <f t="shared" si="158"/>
        <v/>
      </c>
      <c r="K750" t="e">
        <f t="shared" si="155"/>
        <v>#N/A</v>
      </c>
      <c r="L750" t="str">
        <f t="shared" si="159"/>
        <v/>
      </c>
      <c r="M750" t="str">
        <f t="shared" si="160"/>
        <v/>
      </c>
      <c r="N750" t="e">
        <f t="shared" si="156"/>
        <v>#N/A</v>
      </c>
      <c r="P750">
        <f t="shared" si="161"/>
        <v>1</v>
      </c>
      <c r="Q750" t="str">
        <f t="shared" ca="1" si="162"/>
        <v/>
      </c>
      <c r="R750" t="str">
        <f t="shared" ca="1" si="163"/>
        <v/>
      </c>
      <c r="T750">
        <f t="shared" si="164"/>
        <v>0</v>
      </c>
      <c r="V750">
        <v>1</v>
      </c>
      <c r="W750" t="str">
        <f t="shared" si="152"/>
        <v/>
      </c>
    </row>
    <row r="751" spans="1:23" outlineLevel="2" x14ac:dyDescent="0.3">
      <c r="A751">
        <v>40.159999999999997</v>
      </c>
      <c r="I751">
        <f t="shared" si="157"/>
        <v>40.159999999999997</v>
      </c>
      <c r="J751" t="str">
        <f t="shared" si="158"/>
        <v/>
      </c>
      <c r="K751" t="e">
        <f t="shared" si="155"/>
        <v>#N/A</v>
      </c>
      <c r="L751" t="str">
        <f t="shared" si="159"/>
        <v/>
      </c>
      <c r="M751" t="str">
        <f t="shared" si="160"/>
        <v/>
      </c>
      <c r="N751" t="e">
        <f t="shared" si="156"/>
        <v>#N/A</v>
      </c>
      <c r="P751">
        <f t="shared" si="161"/>
        <v>1</v>
      </c>
      <c r="Q751" t="str">
        <f t="shared" ca="1" si="162"/>
        <v/>
      </c>
      <c r="R751" t="str">
        <f t="shared" ca="1" si="163"/>
        <v/>
      </c>
      <c r="T751">
        <f t="shared" si="164"/>
        <v>0</v>
      </c>
      <c r="V751">
        <v>1</v>
      </c>
      <c r="W751" t="str">
        <f t="shared" si="152"/>
        <v/>
      </c>
    </row>
    <row r="752" spans="1:23" outlineLevel="2" x14ac:dyDescent="0.3">
      <c r="A752">
        <v>34.979999999999997</v>
      </c>
      <c r="I752">
        <f t="shared" si="157"/>
        <v>34.979999999999997</v>
      </c>
      <c r="J752" t="str">
        <f t="shared" si="158"/>
        <v/>
      </c>
      <c r="K752" t="e">
        <f t="shared" si="155"/>
        <v>#N/A</v>
      </c>
      <c r="L752" t="str">
        <f t="shared" si="159"/>
        <v/>
      </c>
      <c r="M752" t="str">
        <f t="shared" si="160"/>
        <v/>
      </c>
      <c r="N752" t="e">
        <f t="shared" si="156"/>
        <v>#N/A</v>
      </c>
      <c r="P752">
        <f t="shared" si="161"/>
        <v>1</v>
      </c>
      <c r="Q752" t="str">
        <f t="shared" ca="1" si="162"/>
        <v/>
      </c>
      <c r="R752" t="str">
        <f t="shared" ca="1" si="163"/>
        <v/>
      </c>
      <c r="T752">
        <f t="shared" si="164"/>
        <v>0</v>
      </c>
      <c r="V752">
        <v>1</v>
      </c>
      <c r="W752" t="str">
        <f t="shared" si="152"/>
        <v/>
      </c>
    </row>
    <row r="753" spans="1:23" outlineLevel="2" x14ac:dyDescent="0.3">
      <c r="A753">
        <v>30.02</v>
      </c>
      <c r="I753">
        <f t="shared" si="157"/>
        <v>30.02</v>
      </c>
      <c r="J753" t="str">
        <f t="shared" si="158"/>
        <v/>
      </c>
      <c r="K753" t="e">
        <f t="shared" si="155"/>
        <v>#N/A</v>
      </c>
      <c r="L753" t="str">
        <f t="shared" si="159"/>
        <v/>
      </c>
      <c r="M753" t="str">
        <f t="shared" si="160"/>
        <v/>
      </c>
      <c r="N753" t="e">
        <f t="shared" si="156"/>
        <v>#N/A</v>
      </c>
      <c r="P753">
        <f t="shared" si="161"/>
        <v>1</v>
      </c>
      <c r="Q753" t="str">
        <f t="shared" ca="1" si="162"/>
        <v/>
      </c>
      <c r="R753" t="str">
        <f t="shared" ca="1" si="163"/>
        <v/>
      </c>
      <c r="T753">
        <f t="shared" si="164"/>
        <v>0</v>
      </c>
      <c r="V753">
        <v>1</v>
      </c>
      <c r="W753" t="str">
        <f t="shared" si="152"/>
        <v/>
      </c>
    </row>
    <row r="754" spans="1:23" outlineLevel="2" x14ac:dyDescent="0.3">
      <c r="A754">
        <v>27.72</v>
      </c>
      <c r="I754">
        <f t="shared" si="157"/>
        <v>27.72</v>
      </c>
      <c r="J754" t="str">
        <f t="shared" si="158"/>
        <v/>
      </c>
      <c r="K754" t="e">
        <f t="shared" si="155"/>
        <v>#N/A</v>
      </c>
      <c r="L754" t="str">
        <f t="shared" si="159"/>
        <v/>
      </c>
      <c r="M754" t="str">
        <f t="shared" si="160"/>
        <v/>
      </c>
      <c r="N754" t="e">
        <f t="shared" si="156"/>
        <v>#N/A</v>
      </c>
      <c r="P754">
        <f t="shared" si="161"/>
        <v>1</v>
      </c>
      <c r="Q754" t="str">
        <f t="shared" ca="1" si="162"/>
        <v/>
      </c>
      <c r="R754" t="str">
        <f t="shared" ca="1" si="163"/>
        <v/>
      </c>
      <c r="T754">
        <f t="shared" si="164"/>
        <v>0</v>
      </c>
      <c r="V754">
        <v>1</v>
      </c>
      <c r="W754" t="str">
        <f t="shared" si="152"/>
        <v/>
      </c>
    </row>
    <row r="755" spans="1:23" outlineLevel="2" x14ac:dyDescent="0.3">
      <c r="A755">
        <v>27.57</v>
      </c>
      <c r="I755">
        <f t="shared" si="157"/>
        <v>27.57</v>
      </c>
      <c r="J755" t="str">
        <f t="shared" si="158"/>
        <v/>
      </c>
      <c r="K755" t="e">
        <f t="shared" si="155"/>
        <v>#N/A</v>
      </c>
      <c r="L755" t="str">
        <f t="shared" si="159"/>
        <v/>
      </c>
      <c r="M755" t="str">
        <f t="shared" si="160"/>
        <v/>
      </c>
      <c r="N755" t="e">
        <f t="shared" si="156"/>
        <v>#N/A</v>
      </c>
      <c r="P755">
        <f t="shared" si="161"/>
        <v>1</v>
      </c>
      <c r="Q755" t="str">
        <f t="shared" ca="1" si="162"/>
        <v/>
      </c>
      <c r="R755" t="str">
        <f t="shared" ca="1" si="163"/>
        <v/>
      </c>
      <c r="T755">
        <f t="shared" si="164"/>
        <v>0</v>
      </c>
      <c r="V755">
        <v>1</v>
      </c>
      <c r="W755" t="str">
        <f t="shared" si="152"/>
        <v/>
      </c>
    </row>
    <row r="756" spans="1:23" outlineLevel="2" x14ac:dyDescent="0.3">
      <c r="A756">
        <v>27.96</v>
      </c>
      <c r="I756">
        <f t="shared" si="157"/>
        <v>27.96</v>
      </c>
      <c r="J756" t="str">
        <f t="shared" si="158"/>
        <v/>
      </c>
      <c r="K756" t="e">
        <f t="shared" si="155"/>
        <v>#N/A</v>
      </c>
      <c r="L756" t="str">
        <f t="shared" si="159"/>
        <v/>
      </c>
      <c r="M756" t="str">
        <f t="shared" si="160"/>
        <v/>
      </c>
      <c r="N756" t="e">
        <f t="shared" si="156"/>
        <v>#N/A</v>
      </c>
      <c r="P756">
        <f t="shared" si="161"/>
        <v>1</v>
      </c>
      <c r="Q756" t="str">
        <f t="shared" ca="1" si="162"/>
        <v/>
      </c>
      <c r="R756" t="str">
        <f t="shared" ca="1" si="163"/>
        <v/>
      </c>
      <c r="T756">
        <f t="shared" si="164"/>
        <v>0</v>
      </c>
      <c r="V756">
        <v>1</v>
      </c>
      <c r="W756" t="str">
        <f t="shared" si="152"/>
        <v/>
      </c>
    </row>
    <row r="757" spans="1:23" outlineLevel="2" x14ac:dyDescent="0.3">
      <c r="A757">
        <v>27.05</v>
      </c>
      <c r="I757">
        <f t="shared" si="157"/>
        <v>27.05</v>
      </c>
      <c r="J757" t="str">
        <f t="shared" si="158"/>
        <v/>
      </c>
      <c r="K757" t="e">
        <f t="shared" si="155"/>
        <v>#N/A</v>
      </c>
      <c r="L757" t="str">
        <f t="shared" si="159"/>
        <v/>
      </c>
      <c r="M757" t="str">
        <f t="shared" si="160"/>
        <v/>
      </c>
      <c r="N757" t="e">
        <f t="shared" si="156"/>
        <v>#N/A</v>
      </c>
      <c r="P757">
        <f t="shared" si="161"/>
        <v>1</v>
      </c>
      <c r="Q757" t="str">
        <f t="shared" ca="1" si="162"/>
        <v/>
      </c>
      <c r="R757" t="str">
        <f t="shared" ca="1" si="163"/>
        <v/>
      </c>
      <c r="T757">
        <f t="shared" si="164"/>
        <v>0</v>
      </c>
      <c r="V757">
        <v>1</v>
      </c>
      <c r="W757" t="str">
        <f t="shared" si="152"/>
        <v/>
      </c>
    </row>
    <row r="758" spans="1:23" outlineLevel="2" x14ac:dyDescent="0.3">
      <c r="A758">
        <v>23.84</v>
      </c>
      <c r="I758">
        <f t="shared" si="157"/>
        <v>23.84</v>
      </c>
      <c r="J758" t="str">
        <f t="shared" si="158"/>
        <v/>
      </c>
      <c r="K758" t="e">
        <f t="shared" si="155"/>
        <v>#N/A</v>
      </c>
      <c r="L758" t="str">
        <f t="shared" si="159"/>
        <v/>
      </c>
      <c r="M758" t="str">
        <f t="shared" si="160"/>
        <v/>
      </c>
      <c r="N758" t="e">
        <f t="shared" si="156"/>
        <v>#N/A</v>
      </c>
      <c r="P758">
        <f t="shared" si="161"/>
        <v>1</v>
      </c>
      <c r="Q758" t="str">
        <f t="shared" ca="1" si="162"/>
        <v/>
      </c>
      <c r="R758" t="str">
        <f t="shared" ca="1" si="163"/>
        <v/>
      </c>
      <c r="T758">
        <f t="shared" si="164"/>
        <v>0</v>
      </c>
      <c r="V758">
        <v>1</v>
      </c>
      <c r="W758" t="str">
        <f t="shared" si="152"/>
        <v/>
      </c>
    </row>
    <row r="759" spans="1:23" outlineLevel="2" x14ac:dyDescent="0.3">
      <c r="A759">
        <v>20.56</v>
      </c>
      <c r="I759">
        <f t="shared" si="157"/>
        <v>20.56</v>
      </c>
      <c r="J759" t="str">
        <f t="shared" si="158"/>
        <v/>
      </c>
      <c r="K759" t="e">
        <f t="shared" si="155"/>
        <v>#N/A</v>
      </c>
      <c r="L759" t="str">
        <f t="shared" si="159"/>
        <v/>
      </c>
      <c r="M759" t="str">
        <f t="shared" si="160"/>
        <v/>
      </c>
      <c r="N759" t="e">
        <f t="shared" si="156"/>
        <v>#N/A</v>
      </c>
      <c r="P759">
        <f t="shared" si="161"/>
        <v>1</v>
      </c>
      <c r="Q759" t="str">
        <f t="shared" ca="1" si="162"/>
        <v/>
      </c>
      <c r="R759" t="str">
        <f t="shared" ca="1" si="163"/>
        <v/>
      </c>
      <c r="T759">
        <f t="shared" si="164"/>
        <v>0</v>
      </c>
      <c r="V759">
        <v>1</v>
      </c>
      <c r="W759" t="str">
        <f t="shared" si="152"/>
        <v/>
      </c>
    </row>
    <row r="760" spans="1:23" outlineLevel="2" x14ac:dyDescent="0.3">
      <c r="A760">
        <v>18.03</v>
      </c>
      <c r="I760">
        <f t="shared" si="157"/>
        <v>18.03</v>
      </c>
      <c r="J760" t="str">
        <f t="shared" si="158"/>
        <v/>
      </c>
      <c r="K760" t="e">
        <f t="shared" si="155"/>
        <v>#N/A</v>
      </c>
      <c r="L760" t="str">
        <f t="shared" si="159"/>
        <v/>
      </c>
      <c r="M760" t="str">
        <f t="shared" si="160"/>
        <v/>
      </c>
      <c r="N760" t="e">
        <f t="shared" si="156"/>
        <v>#N/A</v>
      </c>
      <c r="P760">
        <f t="shared" si="161"/>
        <v>1</v>
      </c>
      <c r="Q760" t="str">
        <f t="shared" ca="1" si="162"/>
        <v/>
      </c>
      <c r="R760" t="str">
        <f t="shared" ca="1" si="163"/>
        <v/>
      </c>
      <c r="T760">
        <f t="shared" si="164"/>
        <v>0</v>
      </c>
      <c r="V760">
        <v>1</v>
      </c>
      <c r="W760" t="str">
        <f t="shared" si="152"/>
        <v/>
      </c>
    </row>
    <row r="761" spans="1:23" outlineLevel="2" x14ac:dyDescent="0.3">
      <c r="A761">
        <v>15.45</v>
      </c>
      <c r="I761">
        <f t="shared" si="157"/>
        <v>15.45</v>
      </c>
      <c r="J761" t="str">
        <f t="shared" si="158"/>
        <v/>
      </c>
      <c r="K761" t="e">
        <f t="shared" si="155"/>
        <v>#N/A</v>
      </c>
      <c r="L761" t="str">
        <f t="shared" si="159"/>
        <v/>
      </c>
      <c r="M761" t="str">
        <f t="shared" si="160"/>
        <v/>
      </c>
      <c r="N761" t="e">
        <f t="shared" si="156"/>
        <v>#N/A</v>
      </c>
      <c r="P761">
        <f t="shared" si="161"/>
        <v>1</v>
      </c>
      <c r="Q761" t="str">
        <f t="shared" ca="1" si="162"/>
        <v/>
      </c>
      <c r="R761" t="str">
        <f t="shared" ca="1" si="163"/>
        <v/>
      </c>
      <c r="T761">
        <f t="shared" si="164"/>
        <v>0</v>
      </c>
      <c r="V761">
        <v>1</v>
      </c>
      <c r="W761" t="str">
        <f t="shared" si="152"/>
        <v/>
      </c>
    </row>
    <row r="762" spans="1:23" outlineLevel="2" x14ac:dyDescent="0.3">
      <c r="A762">
        <v>14.87</v>
      </c>
      <c r="I762">
        <f t="shared" si="157"/>
        <v>14.87</v>
      </c>
      <c r="J762" t="str">
        <f t="shared" si="158"/>
        <v/>
      </c>
      <c r="K762" t="e">
        <f t="shared" si="155"/>
        <v>#N/A</v>
      </c>
      <c r="L762" t="str">
        <f t="shared" si="159"/>
        <v/>
      </c>
      <c r="M762" t="str">
        <f t="shared" si="160"/>
        <v/>
      </c>
      <c r="N762" t="e">
        <f t="shared" si="156"/>
        <v>#N/A</v>
      </c>
      <c r="P762">
        <f t="shared" si="161"/>
        <v>1</v>
      </c>
      <c r="Q762" t="str">
        <f t="shared" ca="1" si="162"/>
        <v/>
      </c>
      <c r="R762" t="str">
        <f t="shared" ca="1" si="163"/>
        <v/>
      </c>
      <c r="T762">
        <f t="shared" si="164"/>
        <v>0</v>
      </c>
      <c r="V762">
        <v>1</v>
      </c>
      <c r="W762" t="str">
        <f t="shared" si="152"/>
        <v/>
      </c>
    </row>
    <row r="763" spans="1:23" outlineLevel="2" x14ac:dyDescent="0.3">
      <c r="A763">
        <v>16.649999999999999</v>
      </c>
      <c r="I763">
        <f t="shared" si="157"/>
        <v>16.649999999999999</v>
      </c>
      <c r="J763" t="str">
        <f t="shared" si="158"/>
        <v/>
      </c>
      <c r="K763" t="e">
        <f t="shared" si="155"/>
        <v>#N/A</v>
      </c>
      <c r="L763" t="str">
        <f t="shared" si="159"/>
        <v/>
      </c>
      <c r="M763" t="str">
        <f t="shared" si="160"/>
        <v/>
      </c>
      <c r="N763" t="e">
        <f t="shared" si="156"/>
        <v>#N/A</v>
      </c>
      <c r="P763">
        <f t="shared" si="161"/>
        <v>1</v>
      </c>
      <c r="Q763" t="str">
        <f t="shared" ca="1" si="162"/>
        <v/>
      </c>
      <c r="R763" t="str">
        <f t="shared" ca="1" si="163"/>
        <v/>
      </c>
      <c r="T763">
        <f t="shared" si="164"/>
        <v>0</v>
      </c>
      <c r="V763">
        <v>1</v>
      </c>
      <c r="W763" t="str">
        <f t="shared" si="152"/>
        <v/>
      </c>
    </row>
    <row r="764" spans="1:23" outlineLevel="2" x14ac:dyDescent="0.3">
      <c r="A764">
        <v>16.91</v>
      </c>
      <c r="I764">
        <f t="shared" si="157"/>
        <v>16.91</v>
      </c>
      <c r="J764" t="str">
        <f t="shared" si="158"/>
        <v/>
      </c>
      <c r="K764" t="e">
        <f t="shared" si="155"/>
        <v>#N/A</v>
      </c>
      <c r="L764" t="str">
        <f t="shared" si="159"/>
        <v/>
      </c>
      <c r="M764" t="str">
        <f t="shared" si="160"/>
        <v/>
      </c>
      <c r="N764" t="e">
        <f t="shared" si="156"/>
        <v>#N/A</v>
      </c>
      <c r="P764">
        <f t="shared" si="161"/>
        <v>1</v>
      </c>
      <c r="Q764" t="str">
        <f t="shared" ca="1" si="162"/>
        <v/>
      </c>
      <c r="R764" t="str">
        <f t="shared" ca="1" si="163"/>
        <v/>
      </c>
      <c r="T764">
        <f t="shared" si="164"/>
        <v>0</v>
      </c>
      <c r="V764">
        <v>1</v>
      </c>
      <c r="W764" t="str">
        <f t="shared" si="152"/>
        <v/>
      </c>
    </row>
    <row r="765" spans="1:23" outlineLevel="2" x14ac:dyDescent="0.3">
      <c r="A765">
        <v>14.35</v>
      </c>
      <c r="I765">
        <f t="shared" si="157"/>
        <v>14.35</v>
      </c>
      <c r="J765" t="str">
        <f t="shared" si="158"/>
        <v/>
      </c>
      <c r="K765" t="e">
        <f t="shared" si="155"/>
        <v>#N/A</v>
      </c>
      <c r="L765" t="str">
        <f t="shared" si="159"/>
        <v/>
      </c>
      <c r="M765" t="str">
        <f t="shared" si="160"/>
        <v/>
      </c>
      <c r="N765" t="e">
        <f t="shared" si="156"/>
        <v>#N/A</v>
      </c>
      <c r="P765">
        <f t="shared" si="161"/>
        <v>1</v>
      </c>
      <c r="Q765" t="str">
        <f t="shared" ca="1" si="162"/>
        <v/>
      </c>
      <c r="R765" t="str">
        <f t="shared" ca="1" si="163"/>
        <v/>
      </c>
      <c r="T765">
        <f t="shared" si="164"/>
        <v>0</v>
      </c>
      <c r="V765">
        <v>1</v>
      </c>
      <c r="W765" t="str">
        <f t="shared" si="152"/>
        <v/>
      </c>
    </row>
    <row r="766" spans="1:23" outlineLevel="2" x14ac:dyDescent="0.3">
      <c r="A766">
        <v>12.03</v>
      </c>
      <c r="I766">
        <f t="shared" si="157"/>
        <v>12.03</v>
      </c>
      <c r="J766" t="str">
        <f t="shared" si="158"/>
        <v/>
      </c>
      <c r="K766" t="e">
        <f t="shared" si="155"/>
        <v>#N/A</v>
      </c>
      <c r="L766" t="str">
        <f t="shared" si="159"/>
        <v/>
      </c>
      <c r="M766" t="str">
        <f t="shared" si="160"/>
        <v/>
      </c>
      <c r="N766" t="e">
        <f t="shared" si="156"/>
        <v>#N/A</v>
      </c>
      <c r="P766">
        <f t="shared" si="161"/>
        <v>1</v>
      </c>
      <c r="Q766" t="str">
        <f t="shared" ca="1" si="162"/>
        <v/>
      </c>
      <c r="R766" t="str">
        <f t="shared" ca="1" si="163"/>
        <v/>
      </c>
      <c r="T766">
        <f t="shared" si="164"/>
        <v>0</v>
      </c>
      <c r="V766">
        <v>1</v>
      </c>
      <c r="W766" t="str">
        <f t="shared" si="152"/>
        <v/>
      </c>
    </row>
    <row r="767" spans="1:23" outlineLevel="2" x14ac:dyDescent="0.3">
      <c r="A767">
        <v>11.76</v>
      </c>
      <c r="I767">
        <f t="shared" si="157"/>
        <v>11.76</v>
      </c>
      <c r="J767" t="str">
        <f t="shared" si="158"/>
        <v/>
      </c>
      <c r="K767" t="e">
        <f t="shared" si="155"/>
        <v>#N/A</v>
      </c>
      <c r="L767" t="str">
        <f t="shared" si="159"/>
        <v/>
      </c>
      <c r="M767" t="str">
        <f t="shared" si="160"/>
        <v/>
      </c>
      <c r="N767" t="e">
        <f t="shared" si="156"/>
        <v>#N/A</v>
      </c>
      <c r="P767">
        <f t="shared" si="161"/>
        <v>1</v>
      </c>
      <c r="Q767" t="str">
        <f t="shared" ca="1" si="162"/>
        <v/>
      </c>
      <c r="R767" t="str">
        <f t="shared" ca="1" si="163"/>
        <v/>
      </c>
      <c r="T767">
        <f t="shared" si="164"/>
        <v>0</v>
      </c>
      <c r="V767">
        <v>1</v>
      </c>
      <c r="W767" t="str">
        <f t="shared" si="152"/>
        <v/>
      </c>
    </row>
    <row r="768" spans="1:23" outlineLevel="2" x14ac:dyDescent="0.3">
      <c r="A768">
        <v>12.41</v>
      </c>
      <c r="I768">
        <f t="shared" si="157"/>
        <v>12.41</v>
      </c>
      <c r="J768" t="str">
        <f t="shared" si="158"/>
        <v/>
      </c>
      <c r="K768" t="e">
        <f t="shared" si="155"/>
        <v>#N/A</v>
      </c>
      <c r="L768" t="str">
        <f t="shared" si="159"/>
        <v/>
      </c>
      <c r="M768" t="str">
        <f t="shared" si="160"/>
        <v/>
      </c>
      <c r="N768" t="e">
        <f t="shared" si="156"/>
        <v>#N/A</v>
      </c>
      <c r="P768">
        <f t="shared" si="161"/>
        <v>1</v>
      </c>
      <c r="Q768" t="str">
        <f t="shared" ca="1" si="162"/>
        <v/>
      </c>
      <c r="R768" t="str">
        <f t="shared" ca="1" si="163"/>
        <v/>
      </c>
      <c r="T768">
        <f t="shared" si="164"/>
        <v>0</v>
      </c>
      <c r="V768">
        <v>1</v>
      </c>
      <c r="W768" t="str">
        <f t="shared" si="152"/>
        <v/>
      </c>
    </row>
    <row r="769" spans="1:23" outlineLevel="2" x14ac:dyDescent="0.3">
      <c r="A769">
        <v>12.09</v>
      </c>
      <c r="I769">
        <f t="shared" si="157"/>
        <v>12.09</v>
      </c>
      <c r="J769" t="str">
        <f t="shared" si="158"/>
        <v/>
      </c>
      <c r="K769" t="e">
        <f t="shared" si="155"/>
        <v>#N/A</v>
      </c>
      <c r="L769" t="str">
        <f t="shared" si="159"/>
        <v/>
      </c>
      <c r="M769" t="str">
        <f t="shared" si="160"/>
        <v/>
      </c>
      <c r="N769" t="e">
        <f t="shared" si="156"/>
        <v>#N/A</v>
      </c>
      <c r="P769">
        <f t="shared" si="161"/>
        <v>1</v>
      </c>
      <c r="Q769" t="str">
        <f t="shared" ca="1" si="162"/>
        <v/>
      </c>
      <c r="R769" t="str">
        <f t="shared" ca="1" si="163"/>
        <v/>
      </c>
      <c r="T769">
        <f t="shared" si="164"/>
        <v>0</v>
      </c>
      <c r="V769">
        <v>1</v>
      </c>
      <c r="W769" t="str">
        <f t="shared" si="152"/>
        <v/>
      </c>
    </row>
    <row r="770" spans="1:23" outlineLevel="2" x14ac:dyDescent="0.3">
      <c r="A770">
        <v>11.38</v>
      </c>
      <c r="I770">
        <f t="shared" si="157"/>
        <v>11.38</v>
      </c>
      <c r="J770" t="str">
        <f t="shared" si="158"/>
        <v/>
      </c>
      <c r="K770" t="e">
        <f t="shared" si="155"/>
        <v>#N/A</v>
      </c>
      <c r="L770" t="str">
        <f t="shared" si="159"/>
        <v/>
      </c>
      <c r="M770" t="str">
        <f t="shared" si="160"/>
        <v/>
      </c>
      <c r="N770" t="e">
        <f t="shared" si="156"/>
        <v>#N/A</v>
      </c>
      <c r="P770">
        <f t="shared" si="161"/>
        <v>1</v>
      </c>
      <c r="Q770" t="str">
        <f t="shared" ca="1" si="162"/>
        <v/>
      </c>
      <c r="R770" t="str">
        <f t="shared" ca="1" si="163"/>
        <v/>
      </c>
      <c r="T770">
        <f t="shared" si="164"/>
        <v>0</v>
      </c>
      <c r="V770">
        <v>1</v>
      </c>
      <c r="W770" t="str">
        <f t="shared" si="152"/>
        <v/>
      </c>
    </row>
    <row r="771" spans="1:23" outlineLevel="2" x14ac:dyDescent="0.3">
      <c r="A771">
        <v>11.55</v>
      </c>
      <c r="I771">
        <f t="shared" si="157"/>
        <v>11.55</v>
      </c>
      <c r="J771" t="str">
        <f>IF(AND(I772&gt;I771,I772&gt;I774,I772&gt;$D$5),I772,"")</f>
        <v/>
      </c>
      <c r="K771" t="e">
        <f t="shared" si="155"/>
        <v>#N/A</v>
      </c>
      <c r="L771" t="str">
        <f t="shared" si="159"/>
        <v/>
      </c>
      <c r="M771" t="str">
        <f>IF(AND(L772&lt;L771,L772&lt;L774,L772&lt;$G$5),L772,"")</f>
        <v/>
      </c>
      <c r="N771" t="e">
        <f t="shared" si="156"/>
        <v>#N/A</v>
      </c>
      <c r="P771">
        <f t="shared" si="161"/>
        <v>1</v>
      </c>
      <c r="Q771" t="str">
        <f t="shared" ca="1" si="162"/>
        <v/>
      </c>
      <c r="R771" t="str">
        <f t="shared" ca="1" si="163"/>
        <v/>
      </c>
      <c r="T771">
        <f t="shared" si="164"/>
        <v>0</v>
      </c>
      <c r="V771">
        <v>1</v>
      </c>
      <c r="W771" t="str">
        <f t="shared" ref="W771:W834" si="165">IF(AND(V771&gt;2,V771&lt;20),V771,"")</f>
        <v/>
      </c>
    </row>
    <row r="772" spans="1:23" outlineLevel="2" x14ac:dyDescent="0.3">
      <c r="A772">
        <v>11.01</v>
      </c>
      <c r="I772">
        <f t="shared" si="157"/>
        <v>11.01</v>
      </c>
      <c r="J772" t="str">
        <f>IF(AND(I774&gt;I772,I774&gt;I775,I774&gt;$D$5),I774,"")</f>
        <v/>
      </c>
      <c r="K772" t="e">
        <f t="shared" si="155"/>
        <v>#N/A</v>
      </c>
      <c r="L772" t="str">
        <f t="shared" si="159"/>
        <v/>
      </c>
      <c r="M772" t="str">
        <f>IF(AND(L774&lt;L772,L774&lt;L775,L774&lt;$G$5),L774,"")</f>
        <v/>
      </c>
      <c r="N772" t="e">
        <f t="shared" si="156"/>
        <v>#N/A</v>
      </c>
      <c r="P772">
        <f t="shared" si="161"/>
        <v>1</v>
      </c>
      <c r="Q772">
        <f ca="1">IF(AND(A774&gt;=0,A772&lt;0),CELL("ROW",A774),IF(AND(A774&lt;0,A772&gt;=0),CELL("ROW",A774),""))</f>
        <v>774</v>
      </c>
      <c r="R772" t="str">
        <f t="shared" ca="1" si="163"/>
        <v>774</v>
      </c>
      <c r="T772">
        <f>S774-S772</f>
        <v>0</v>
      </c>
      <c r="V772">
        <v>1</v>
      </c>
      <c r="W772" t="str">
        <f t="shared" si="165"/>
        <v/>
      </c>
    </row>
    <row r="773" spans="1:23" outlineLevel="1" x14ac:dyDescent="0.3">
      <c r="O773" s="1" t="s">
        <v>26</v>
      </c>
      <c r="P773">
        <f>SUBTOTAL(3,P731:P772)</f>
        <v>42</v>
      </c>
      <c r="V773">
        <v>42</v>
      </c>
      <c r="W773" t="str">
        <f t="shared" si="165"/>
        <v/>
      </c>
    </row>
    <row r="774" spans="1:23" outlineLevel="2" x14ac:dyDescent="0.3">
      <c r="A774">
        <v>-13.59</v>
      </c>
      <c r="I774" t="str">
        <f t="shared" si="157"/>
        <v/>
      </c>
      <c r="J774" t="str">
        <f t="shared" si="158"/>
        <v/>
      </c>
      <c r="K774" t="e">
        <f t="shared" ref="K774:K813" si="166">MATCH(J774,$A$1:$A$10041,0)</f>
        <v>#N/A</v>
      </c>
      <c r="L774">
        <f t="shared" si="159"/>
        <v>-13.59</v>
      </c>
      <c r="M774" t="str">
        <f t="shared" si="160"/>
        <v/>
      </c>
      <c r="N774" t="e">
        <f t="shared" ref="N774:N813" si="167">MATCH(M774,$A$1:$A$10041,0)</f>
        <v>#N/A</v>
      </c>
      <c r="P774">
        <f t="shared" si="161"/>
        <v>2</v>
      </c>
      <c r="Q774" t="str">
        <f t="shared" ca="1" si="162"/>
        <v/>
      </c>
      <c r="R774" t="str">
        <f t="shared" ca="1" si="163"/>
        <v/>
      </c>
      <c r="T774">
        <f t="shared" si="164"/>
        <v>0</v>
      </c>
      <c r="V774">
        <v>2</v>
      </c>
      <c r="W774" t="str">
        <f t="shared" si="165"/>
        <v/>
      </c>
    </row>
    <row r="775" spans="1:23" outlineLevel="2" x14ac:dyDescent="0.3">
      <c r="A775">
        <v>-15.8</v>
      </c>
      <c r="I775" t="str">
        <f t="shared" si="157"/>
        <v/>
      </c>
      <c r="J775" t="str">
        <f t="shared" si="158"/>
        <v/>
      </c>
      <c r="K775" t="e">
        <f t="shared" si="166"/>
        <v>#N/A</v>
      </c>
      <c r="L775">
        <f t="shared" si="159"/>
        <v>-15.8</v>
      </c>
      <c r="M775" t="str">
        <f t="shared" si="160"/>
        <v/>
      </c>
      <c r="N775" t="e">
        <f t="shared" si="167"/>
        <v>#N/A</v>
      </c>
      <c r="P775">
        <f t="shared" si="161"/>
        <v>2</v>
      </c>
      <c r="Q775" t="str">
        <f t="shared" ca="1" si="162"/>
        <v/>
      </c>
      <c r="R775" t="str">
        <f t="shared" ca="1" si="163"/>
        <v/>
      </c>
      <c r="T775">
        <f t="shared" si="164"/>
        <v>0</v>
      </c>
      <c r="V775">
        <v>2</v>
      </c>
      <c r="W775" t="str">
        <f t="shared" si="165"/>
        <v/>
      </c>
    </row>
    <row r="776" spans="1:23" outlineLevel="2" x14ac:dyDescent="0.3">
      <c r="A776">
        <v>-17.09</v>
      </c>
      <c r="I776" t="str">
        <f t="shared" si="157"/>
        <v/>
      </c>
      <c r="J776" t="str">
        <f t="shared" si="158"/>
        <v/>
      </c>
      <c r="K776" t="e">
        <f t="shared" si="166"/>
        <v>#N/A</v>
      </c>
      <c r="L776">
        <f t="shared" si="159"/>
        <v>-17.09</v>
      </c>
      <c r="M776" t="str">
        <f t="shared" si="160"/>
        <v/>
      </c>
      <c r="N776" t="e">
        <f t="shared" si="167"/>
        <v>#N/A</v>
      </c>
      <c r="P776">
        <f t="shared" si="161"/>
        <v>2</v>
      </c>
      <c r="Q776" t="str">
        <f t="shared" ca="1" si="162"/>
        <v/>
      </c>
      <c r="R776" t="str">
        <f t="shared" ca="1" si="163"/>
        <v/>
      </c>
      <c r="T776">
        <f t="shared" si="164"/>
        <v>0</v>
      </c>
      <c r="V776">
        <v>2</v>
      </c>
      <c r="W776" t="str">
        <f t="shared" si="165"/>
        <v/>
      </c>
    </row>
    <row r="777" spans="1:23" outlineLevel="2" x14ac:dyDescent="0.3">
      <c r="A777">
        <v>-17.510000000000002</v>
      </c>
      <c r="I777" t="str">
        <f t="shared" si="157"/>
        <v/>
      </c>
      <c r="J777" t="str">
        <f t="shared" si="158"/>
        <v/>
      </c>
      <c r="K777" t="e">
        <f t="shared" si="166"/>
        <v>#N/A</v>
      </c>
      <c r="L777">
        <f t="shared" si="159"/>
        <v>-17.510000000000002</v>
      </c>
      <c r="M777" t="str">
        <f t="shared" si="160"/>
        <v/>
      </c>
      <c r="N777" t="e">
        <f t="shared" si="167"/>
        <v>#N/A</v>
      </c>
      <c r="P777">
        <f t="shared" si="161"/>
        <v>2</v>
      </c>
      <c r="Q777" t="str">
        <f t="shared" ca="1" si="162"/>
        <v/>
      </c>
      <c r="R777" t="str">
        <f t="shared" ca="1" si="163"/>
        <v/>
      </c>
      <c r="T777">
        <f t="shared" si="164"/>
        <v>0</v>
      </c>
      <c r="V777">
        <v>2</v>
      </c>
      <c r="W777" t="str">
        <f t="shared" si="165"/>
        <v/>
      </c>
    </row>
    <row r="778" spans="1:23" outlineLevel="2" x14ac:dyDescent="0.3">
      <c r="A778">
        <v>-18.25</v>
      </c>
      <c r="I778" t="str">
        <f t="shared" si="157"/>
        <v/>
      </c>
      <c r="J778" t="str">
        <f t="shared" si="158"/>
        <v/>
      </c>
      <c r="K778" t="e">
        <f t="shared" si="166"/>
        <v>#N/A</v>
      </c>
      <c r="L778">
        <f t="shared" si="159"/>
        <v>-18.25</v>
      </c>
      <c r="M778" t="str">
        <f t="shared" si="160"/>
        <v/>
      </c>
      <c r="N778" t="e">
        <f t="shared" si="167"/>
        <v>#N/A</v>
      </c>
      <c r="P778">
        <f t="shared" si="161"/>
        <v>2</v>
      </c>
      <c r="Q778" t="str">
        <f t="shared" ca="1" si="162"/>
        <v/>
      </c>
      <c r="R778" t="str">
        <f t="shared" ca="1" si="163"/>
        <v/>
      </c>
      <c r="T778">
        <f t="shared" si="164"/>
        <v>0</v>
      </c>
      <c r="V778">
        <v>2</v>
      </c>
      <c r="W778" t="str">
        <f t="shared" si="165"/>
        <v/>
      </c>
    </row>
    <row r="779" spans="1:23" outlineLevel="2" x14ac:dyDescent="0.3">
      <c r="A779">
        <v>-20.63</v>
      </c>
      <c r="I779" t="str">
        <f t="shared" si="157"/>
        <v/>
      </c>
      <c r="J779" t="str">
        <f t="shared" si="158"/>
        <v/>
      </c>
      <c r="K779" t="e">
        <f t="shared" si="166"/>
        <v>#N/A</v>
      </c>
      <c r="L779">
        <f t="shared" si="159"/>
        <v>-20.63</v>
      </c>
      <c r="M779" t="str">
        <f t="shared" si="160"/>
        <v/>
      </c>
      <c r="N779" t="e">
        <f t="shared" si="167"/>
        <v>#N/A</v>
      </c>
      <c r="P779">
        <f t="shared" si="161"/>
        <v>2</v>
      </c>
      <c r="Q779" t="str">
        <f t="shared" ca="1" si="162"/>
        <v/>
      </c>
      <c r="R779" t="str">
        <f t="shared" ca="1" si="163"/>
        <v/>
      </c>
      <c r="T779">
        <f t="shared" si="164"/>
        <v>0</v>
      </c>
      <c r="V779">
        <v>2</v>
      </c>
      <c r="W779" t="str">
        <f t="shared" si="165"/>
        <v/>
      </c>
    </row>
    <row r="780" spans="1:23" outlineLevel="2" x14ac:dyDescent="0.3">
      <c r="A780">
        <v>-22.81</v>
      </c>
      <c r="I780" t="str">
        <f t="shared" si="157"/>
        <v/>
      </c>
      <c r="J780" t="str">
        <f t="shared" si="158"/>
        <v/>
      </c>
      <c r="K780" t="e">
        <f t="shared" si="166"/>
        <v>#N/A</v>
      </c>
      <c r="L780">
        <f t="shared" si="159"/>
        <v>-22.81</v>
      </c>
      <c r="M780" t="str">
        <f t="shared" si="160"/>
        <v/>
      </c>
      <c r="N780" t="e">
        <f t="shared" si="167"/>
        <v>#N/A</v>
      </c>
      <c r="P780">
        <f t="shared" si="161"/>
        <v>2</v>
      </c>
      <c r="Q780" t="str">
        <f t="shared" ca="1" si="162"/>
        <v/>
      </c>
      <c r="R780" t="str">
        <f t="shared" ca="1" si="163"/>
        <v/>
      </c>
      <c r="T780">
        <f t="shared" si="164"/>
        <v>0</v>
      </c>
      <c r="V780">
        <v>2</v>
      </c>
      <c r="W780" t="str">
        <f t="shared" si="165"/>
        <v/>
      </c>
    </row>
    <row r="781" spans="1:23" outlineLevel="2" x14ac:dyDescent="0.3">
      <c r="A781">
        <v>-23.19</v>
      </c>
      <c r="I781" t="str">
        <f t="shared" si="157"/>
        <v/>
      </c>
      <c r="J781" t="str">
        <f t="shared" si="158"/>
        <v/>
      </c>
      <c r="K781" t="e">
        <f t="shared" si="166"/>
        <v>#N/A</v>
      </c>
      <c r="L781">
        <f t="shared" si="159"/>
        <v>-23.19</v>
      </c>
      <c r="M781" t="str">
        <f t="shared" si="160"/>
        <v/>
      </c>
      <c r="N781" t="e">
        <f t="shared" si="167"/>
        <v>#N/A</v>
      </c>
      <c r="P781">
        <f t="shared" si="161"/>
        <v>2</v>
      </c>
      <c r="Q781" t="str">
        <f t="shared" ca="1" si="162"/>
        <v/>
      </c>
      <c r="R781" t="str">
        <f t="shared" ca="1" si="163"/>
        <v/>
      </c>
      <c r="T781">
        <f t="shared" si="164"/>
        <v>0</v>
      </c>
      <c r="V781">
        <v>2</v>
      </c>
      <c r="W781" t="str">
        <f t="shared" si="165"/>
        <v/>
      </c>
    </row>
    <row r="782" spans="1:23" outlineLevel="2" x14ac:dyDescent="0.3">
      <c r="A782">
        <v>-23.46</v>
      </c>
      <c r="I782" t="str">
        <f t="shared" si="157"/>
        <v/>
      </c>
      <c r="J782" t="str">
        <f t="shared" si="158"/>
        <v/>
      </c>
      <c r="K782" t="e">
        <f t="shared" si="166"/>
        <v>#N/A</v>
      </c>
      <c r="L782">
        <f t="shared" si="159"/>
        <v>-23.46</v>
      </c>
      <c r="M782" t="str">
        <f t="shared" si="160"/>
        <v/>
      </c>
      <c r="N782" t="e">
        <f t="shared" si="167"/>
        <v>#N/A</v>
      </c>
      <c r="P782">
        <f t="shared" si="161"/>
        <v>2</v>
      </c>
      <c r="Q782" t="str">
        <f t="shared" ca="1" si="162"/>
        <v/>
      </c>
      <c r="R782" t="str">
        <f t="shared" ca="1" si="163"/>
        <v/>
      </c>
      <c r="T782">
        <f t="shared" si="164"/>
        <v>0</v>
      </c>
      <c r="V782">
        <v>2</v>
      </c>
      <c r="W782" t="str">
        <f t="shared" si="165"/>
        <v/>
      </c>
    </row>
    <row r="783" spans="1:23" outlineLevel="2" x14ac:dyDescent="0.3">
      <c r="A783">
        <v>-24.3</v>
      </c>
      <c r="I783" t="str">
        <f t="shared" si="157"/>
        <v/>
      </c>
      <c r="J783" t="str">
        <f t="shared" si="158"/>
        <v/>
      </c>
      <c r="K783" t="e">
        <f t="shared" si="166"/>
        <v>#N/A</v>
      </c>
      <c r="L783">
        <f t="shared" si="159"/>
        <v>-24.3</v>
      </c>
      <c r="M783" t="str">
        <f t="shared" si="160"/>
        <v/>
      </c>
      <c r="N783" t="e">
        <f t="shared" si="167"/>
        <v>#N/A</v>
      </c>
      <c r="P783">
        <f t="shared" si="161"/>
        <v>2</v>
      </c>
      <c r="Q783" t="str">
        <f t="shared" ca="1" si="162"/>
        <v/>
      </c>
      <c r="R783" t="str">
        <f t="shared" ca="1" si="163"/>
        <v/>
      </c>
      <c r="T783">
        <f t="shared" si="164"/>
        <v>0</v>
      </c>
      <c r="V783">
        <v>2</v>
      </c>
      <c r="W783" t="str">
        <f t="shared" si="165"/>
        <v/>
      </c>
    </row>
    <row r="784" spans="1:23" outlineLevel="2" x14ac:dyDescent="0.3">
      <c r="A784">
        <v>-25.05</v>
      </c>
      <c r="I784" t="str">
        <f t="shared" si="157"/>
        <v/>
      </c>
      <c r="J784" t="str">
        <f t="shared" si="158"/>
        <v/>
      </c>
      <c r="K784" t="e">
        <f t="shared" si="166"/>
        <v>#N/A</v>
      </c>
      <c r="L784">
        <f t="shared" si="159"/>
        <v>-25.05</v>
      </c>
      <c r="M784" t="str">
        <f t="shared" si="160"/>
        <v/>
      </c>
      <c r="N784" t="e">
        <f t="shared" si="167"/>
        <v>#N/A</v>
      </c>
      <c r="P784">
        <f t="shared" si="161"/>
        <v>2</v>
      </c>
      <c r="Q784" t="str">
        <f t="shared" ca="1" si="162"/>
        <v/>
      </c>
      <c r="R784" t="str">
        <f t="shared" ca="1" si="163"/>
        <v/>
      </c>
      <c r="T784">
        <f t="shared" si="164"/>
        <v>0</v>
      </c>
      <c r="V784">
        <v>2</v>
      </c>
      <c r="W784" t="str">
        <f t="shared" si="165"/>
        <v/>
      </c>
    </row>
    <row r="785" spans="1:23" outlineLevel="2" x14ac:dyDescent="0.3">
      <c r="A785">
        <v>-25.32</v>
      </c>
      <c r="I785" t="str">
        <f t="shared" si="157"/>
        <v/>
      </c>
      <c r="J785" t="str">
        <f t="shared" si="158"/>
        <v/>
      </c>
      <c r="K785" t="e">
        <f t="shared" si="166"/>
        <v>#N/A</v>
      </c>
      <c r="L785">
        <f t="shared" si="159"/>
        <v>-25.32</v>
      </c>
      <c r="M785" t="str">
        <f t="shared" si="160"/>
        <v/>
      </c>
      <c r="N785" t="e">
        <f t="shared" si="167"/>
        <v>#N/A</v>
      </c>
      <c r="P785">
        <f t="shared" si="161"/>
        <v>2</v>
      </c>
      <c r="Q785" t="str">
        <f t="shared" ca="1" si="162"/>
        <v/>
      </c>
      <c r="R785" t="str">
        <f t="shared" ca="1" si="163"/>
        <v/>
      </c>
      <c r="T785">
        <f t="shared" si="164"/>
        <v>0</v>
      </c>
      <c r="V785">
        <v>2</v>
      </c>
      <c r="W785" t="str">
        <f t="shared" si="165"/>
        <v/>
      </c>
    </row>
    <row r="786" spans="1:23" outlineLevel="2" x14ac:dyDescent="0.3">
      <c r="A786">
        <v>-25.66</v>
      </c>
      <c r="I786" t="str">
        <f t="shared" si="157"/>
        <v/>
      </c>
      <c r="J786" t="str">
        <f t="shared" si="158"/>
        <v/>
      </c>
      <c r="K786" t="e">
        <f t="shared" si="166"/>
        <v>#N/A</v>
      </c>
      <c r="L786">
        <f t="shared" si="159"/>
        <v>-25.66</v>
      </c>
      <c r="M786" t="str">
        <f t="shared" si="160"/>
        <v/>
      </c>
      <c r="N786" t="e">
        <f t="shared" si="167"/>
        <v>#N/A</v>
      </c>
      <c r="P786">
        <f t="shared" si="161"/>
        <v>2</v>
      </c>
      <c r="Q786" t="str">
        <f t="shared" ca="1" si="162"/>
        <v/>
      </c>
      <c r="R786" t="str">
        <f t="shared" ca="1" si="163"/>
        <v/>
      </c>
      <c r="T786">
        <f t="shared" si="164"/>
        <v>0</v>
      </c>
      <c r="V786">
        <v>2</v>
      </c>
      <c r="W786" t="str">
        <f t="shared" si="165"/>
        <v/>
      </c>
    </row>
    <row r="787" spans="1:23" outlineLevel="2" x14ac:dyDescent="0.3">
      <c r="A787">
        <v>-25.51</v>
      </c>
      <c r="I787" t="str">
        <f t="shared" si="157"/>
        <v/>
      </c>
      <c r="J787" t="str">
        <f t="shared" si="158"/>
        <v/>
      </c>
      <c r="K787" t="e">
        <f t="shared" si="166"/>
        <v>#N/A</v>
      </c>
      <c r="L787">
        <f t="shared" si="159"/>
        <v>-25.51</v>
      </c>
      <c r="M787" t="str">
        <f t="shared" si="160"/>
        <v/>
      </c>
      <c r="N787" t="e">
        <f t="shared" si="167"/>
        <v>#N/A</v>
      </c>
      <c r="P787">
        <f t="shared" si="161"/>
        <v>2</v>
      </c>
      <c r="Q787" t="str">
        <f t="shared" ca="1" si="162"/>
        <v/>
      </c>
      <c r="R787" t="str">
        <f t="shared" ca="1" si="163"/>
        <v/>
      </c>
      <c r="T787">
        <f t="shared" si="164"/>
        <v>0</v>
      </c>
      <c r="V787">
        <v>2</v>
      </c>
      <c r="W787" t="str">
        <f t="shared" si="165"/>
        <v/>
      </c>
    </row>
    <row r="788" spans="1:23" outlineLevel="2" x14ac:dyDescent="0.3">
      <c r="A788">
        <v>-24.04</v>
      </c>
      <c r="I788" t="str">
        <f t="shared" si="157"/>
        <v/>
      </c>
      <c r="J788" t="str">
        <f t="shared" si="158"/>
        <v/>
      </c>
      <c r="K788" t="e">
        <f t="shared" si="166"/>
        <v>#N/A</v>
      </c>
      <c r="L788">
        <f t="shared" si="159"/>
        <v>-24.04</v>
      </c>
      <c r="M788" t="str">
        <f t="shared" si="160"/>
        <v/>
      </c>
      <c r="N788" t="e">
        <f t="shared" si="167"/>
        <v>#N/A</v>
      </c>
      <c r="P788">
        <f t="shared" si="161"/>
        <v>2</v>
      </c>
      <c r="Q788" t="str">
        <f t="shared" ca="1" si="162"/>
        <v/>
      </c>
      <c r="R788" t="str">
        <f t="shared" ca="1" si="163"/>
        <v/>
      </c>
      <c r="T788">
        <f t="shared" si="164"/>
        <v>0</v>
      </c>
      <c r="V788">
        <v>2</v>
      </c>
      <c r="W788" t="str">
        <f t="shared" si="165"/>
        <v/>
      </c>
    </row>
    <row r="789" spans="1:23" outlineLevel="2" x14ac:dyDescent="0.3">
      <c r="A789">
        <v>-21.88</v>
      </c>
      <c r="I789" t="str">
        <f t="shared" si="157"/>
        <v/>
      </c>
      <c r="J789" t="str">
        <f t="shared" si="158"/>
        <v/>
      </c>
      <c r="K789" t="e">
        <f t="shared" si="166"/>
        <v>#N/A</v>
      </c>
      <c r="L789">
        <f t="shared" si="159"/>
        <v>-21.88</v>
      </c>
      <c r="M789" t="str">
        <f t="shared" si="160"/>
        <v/>
      </c>
      <c r="N789" t="e">
        <f t="shared" si="167"/>
        <v>#N/A</v>
      </c>
      <c r="P789">
        <f t="shared" si="161"/>
        <v>2</v>
      </c>
      <c r="Q789" t="str">
        <f t="shared" ca="1" si="162"/>
        <v/>
      </c>
      <c r="R789" t="str">
        <f t="shared" ca="1" si="163"/>
        <v/>
      </c>
      <c r="T789">
        <f t="shared" si="164"/>
        <v>0</v>
      </c>
      <c r="V789">
        <v>2</v>
      </c>
      <c r="W789" t="str">
        <f t="shared" si="165"/>
        <v/>
      </c>
    </row>
    <row r="790" spans="1:23" outlineLevel="2" x14ac:dyDescent="0.3">
      <c r="A790">
        <v>-22.07</v>
      </c>
      <c r="I790" t="str">
        <f t="shared" si="157"/>
        <v/>
      </c>
      <c r="J790" t="str">
        <f t="shared" si="158"/>
        <v/>
      </c>
      <c r="K790" t="e">
        <f t="shared" si="166"/>
        <v>#N/A</v>
      </c>
      <c r="L790">
        <f t="shared" si="159"/>
        <v>-22.07</v>
      </c>
      <c r="M790" t="str">
        <f t="shared" si="160"/>
        <v/>
      </c>
      <c r="N790" t="e">
        <f t="shared" si="167"/>
        <v>#N/A</v>
      </c>
      <c r="P790">
        <f t="shared" si="161"/>
        <v>2</v>
      </c>
      <c r="Q790" t="str">
        <f t="shared" ca="1" si="162"/>
        <v/>
      </c>
      <c r="R790" t="str">
        <f t="shared" ca="1" si="163"/>
        <v/>
      </c>
      <c r="T790">
        <f t="shared" si="164"/>
        <v>0</v>
      </c>
      <c r="V790">
        <v>2</v>
      </c>
      <c r="W790" t="str">
        <f t="shared" si="165"/>
        <v/>
      </c>
    </row>
    <row r="791" spans="1:23" outlineLevel="2" x14ac:dyDescent="0.3">
      <c r="A791">
        <v>-25.09</v>
      </c>
      <c r="I791" t="str">
        <f t="shared" si="157"/>
        <v/>
      </c>
      <c r="J791" t="str">
        <f t="shared" si="158"/>
        <v/>
      </c>
      <c r="K791" t="e">
        <f t="shared" si="166"/>
        <v>#N/A</v>
      </c>
      <c r="L791">
        <f t="shared" si="159"/>
        <v>-25.09</v>
      </c>
      <c r="M791" t="str">
        <f t="shared" si="160"/>
        <v/>
      </c>
      <c r="N791" t="e">
        <f t="shared" si="167"/>
        <v>#N/A</v>
      </c>
      <c r="P791">
        <f t="shared" si="161"/>
        <v>2</v>
      </c>
      <c r="Q791" t="str">
        <f t="shared" ca="1" si="162"/>
        <v/>
      </c>
      <c r="R791" t="str">
        <f t="shared" ca="1" si="163"/>
        <v/>
      </c>
      <c r="T791">
        <f t="shared" si="164"/>
        <v>0</v>
      </c>
      <c r="V791">
        <v>2</v>
      </c>
      <c r="W791" t="str">
        <f t="shared" si="165"/>
        <v/>
      </c>
    </row>
    <row r="792" spans="1:23" outlineLevel="2" x14ac:dyDescent="0.3">
      <c r="A792">
        <v>-27.12</v>
      </c>
      <c r="I792" t="str">
        <f t="shared" si="157"/>
        <v/>
      </c>
      <c r="J792" t="str">
        <f t="shared" si="158"/>
        <v/>
      </c>
      <c r="K792" t="e">
        <f t="shared" si="166"/>
        <v>#N/A</v>
      </c>
      <c r="L792">
        <f t="shared" si="159"/>
        <v>-27.12</v>
      </c>
      <c r="M792" t="str">
        <f t="shared" si="160"/>
        <v/>
      </c>
      <c r="N792" t="e">
        <f t="shared" si="167"/>
        <v>#N/A</v>
      </c>
      <c r="P792">
        <f t="shared" si="161"/>
        <v>2</v>
      </c>
      <c r="Q792" t="str">
        <f t="shared" ca="1" si="162"/>
        <v/>
      </c>
      <c r="R792" t="str">
        <f t="shared" ca="1" si="163"/>
        <v/>
      </c>
      <c r="T792">
        <f t="shared" si="164"/>
        <v>0</v>
      </c>
      <c r="V792">
        <v>2</v>
      </c>
      <c r="W792" t="str">
        <f t="shared" si="165"/>
        <v/>
      </c>
    </row>
    <row r="793" spans="1:23" outlineLevel="2" x14ac:dyDescent="0.3">
      <c r="A793">
        <v>-25.86</v>
      </c>
      <c r="I793" t="str">
        <f t="shared" si="157"/>
        <v/>
      </c>
      <c r="J793" t="str">
        <f t="shared" si="158"/>
        <v/>
      </c>
      <c r="K793" t="e">
        <f t="shared" si="166"/>
        <v>#N/A</v>
      </c>
      <c r="L793">
        <f t="shared" si="159"/>
        <v>-25.86</v>
      </c>
      <c r="M793" t="str">
        <f t="shared" si="160"/>
        <v/>
      </c>
      <c r="N793" t="e">
        <f t="shared" si="167"/>
        <v>#N/A</v>
      </c>
      <c r="P793">
        <f t="shared" si="161"/>
        <v>2</v>
      </c>
      <c r="Q793" t="str">
        <f t="shared" ca="1" si="162"/>
        <v/>
      </c>
      <c r="R793" t="str">
        <f t="shared" ca="1" si="163"/>
        <v/>
      </c>
      <c r="T793">
        <f t="shared" si="164"/>
        <v>0</v>
      </c>
      <c r="V793">
        <v>2</v>
      </c>
      <c r="W793" t="str">
        <f t="shared" si="165"/>
        <v/>
      </c>
    </row>
    <row r="794" spans="1:23" outlineLevel="2" x14ac:dyDescent="0.3">
      <c r="A794">
        <v>-23.81</v>
      </c>
      <c r="I794" t="str">
        <f t="shared" si="157"/>
        <v/>
      </c>
      <c r="J794" t="str">
        <f t="shared" si="158"/>
        <v/>
      </c>
      <c r="K794" t="e">
        <f t="shared" si="166"/>
        <v>#N/A</v>
      </c>
      <c r="L794">
        <f t="shared" si="159"/>
        <v>-23.81</v>
      </c>
      <c r="M794" t="str">
        <f t="shared" si="160"/>
        <v/>
      </c>
      <c r="N794" t="e">
        <f t="shared" si="167"/>
        <v>#N/A</v>
      </c>
      <c r="P794">
        <f t="shared" si="161"/>
        <v>2</v>
      </c>
      <c r="Q794" t="str">
        <f t="shared" ca="1" si="162"/>
        <v/>
      </c>
      <c r="R794" t="str">
        <f t="shared" ca="1" si="163"/>
        <v/>
      </c>
      <c r="T794">
        <f t="shared" si="164"/>
        <v>0</v>
      </c>
      <c r="V794">
        <v>2</v>
      </c>
      <c r="W794" t="str">
        <f t="shared" si="165"/>
        <v/>
      </c>
    </row>
    <row r="795" spans="1:23" outlineLevel="2" x14ac:dyDescent="0.3">
      <c r="A795">
        <v>-23.13</v>
      </c>
      <c r="I795" t="str">
        <f t="shared" si="157"/>
        <v/>
      </c>
      <c r="J795" t="str">
        <f t="shared" si="158"/>
        <v/>
      </c>
      <c r="K795" t="e">
        <f t="shared" si="166"/>
        <v>#N/A</v>
      </c>
      <c r="L795">
        <f t="shared" si="159"/>
        <v>-23.13</v>
      </c>
      <c r="M795" t="str">
        <f t="shared" si="160"/>
        <v/>
      </c>
      <c r="N795" t="e">
        <f t="shared" si="167"/>
        <v>#N/A</v>
      </c>
      <c r="P795">
        <f t="shared" si="161"/>
        <v>2</v>
      </c>
      <c r="Q795" t="str">
        <f t="shared" ca="1" si="162"/>
        <v/>
      </c>
      <c r="R795" t="str">
        <f t="shared" ca="1" si="163"/>
        <v/>
      </c>
      <c r="T795">
        <f t="shared" si="164"/>
        <v>0</v>
      </c>
      <c r="V795">
        <v>2</v>
      </c>
      <c r="W795" t="str">
        <f t="shared" si="165"/>
        <v/>
      </c>
    </row>
    <row r="796" spans="1:23" outlineLevel="2" x14ac:dyDescent="0.3">
      <c r="A796">
        <v>-23.55</v>
      </c>
      <c r="I796" t="str">
        <f t="shared" si="157"/>
        <v/>
      </c>
      <c r="J796" t="str">
        <f t="shared" si="158"/>
        <v/>
      </c>
      <c r="K796" t="e">
        <f t="shared" si="166"/>
        <v>#N/A</v>
      </c>
      <c r="L796">
        <f t="shared" si="159"/>
        <v>-23.55</v>
      </c>
      <c r="M796" t="str">
        <f t="shared" si="160"/>
        <v/>
      </c>
      <c r="N796" t="e">
        <f t="shared" si="167"/>
        <v>#N/A</v>
      </c>
      <c r="P796">
        <f t="shared" si="161"/>
        <v>2</v>
      </c>
      <c r="Q796" t="str">
        <f t="shared" ca="1" si="162"/>
        <v/>
      </c>
      <c r="R796" t="str">
        <f t="shared" ca="1" si="163"/>
        <v/>
      </c>
      <c r="T796">
        <f t="shared" si="164"/>
        <v>0</v>
      </c>
      <c r="V796">
        <v>2</v>
      </c>
      <c r="W796" t="str">
        <f t="shared" si="165"/>
        <v/>
      </c>
    </row>
    <row r="797" spans="1:23" outlineLevel="2" x14ac:dyDescent="0.3">
      <c r="A797">
        <v>-23.89</v>
      </c>
      <c r="I797" t="str">
        <f t="shared" si="157"/>
        <v/>
      </c>
      <c r="J797" t="str">
        <f t="shared" si="158"/>
        <v/>
      </c>
      <c r="K797" t="e">
        <f t="shared" si="166"/>
        <v>#N/A</v>
      </c>
      <c r="L797">
        <f t="shared" si="159"/>
        <v>-23.89</v>
      </c>
      <c r="M797" t="str">
        <f t="shared" si="160"/>
        <v/>
      </c>
      <c r="N797" t="e">
        <f t="shared" si="167"/>
        <v>#N/A</v>
      </c>
      <c r="P797">
        <f t="shared" si="161"/>
        <v>2</v>
      </c>
      <c r="Q797" t="str">
        <f t="shared" ca="1" si="162"/>
        <v/>
      </c>
      <c r="R797" t="str">
        <f t="shared" ca="1" si="163"/>
        <v/>
      </c>
      <c r="T797">
        <f t="shared" si="164"/>
        <v>0</v>
      </c>
      <c r="V797">
        <v>2</v>
      </c>
      <c r="W797" t="str">
        <f t="shared" si="165"/>
        <v/>
      </c>
    </row>
    <row r="798" spans="1:23" outlineLevel="2" x14ac:dyDescent="0.3">
      <c r="A798">
        <v>-23.64</v>
      </c>
      <c r="I798" t="str">
        <f t="shared" ref="I798:I863" si="168">IF(A798&gt;0,A798,"")</f>
        <v/>
      </c>
      <c r="J798" t="str">
        <f t="shared" ref="J798:J862" si="169">IF(AND(I799&gt;I798,I799&gt;I800,I799&gt;$D$5),I799,"")</f>
        <v/>
      </c>
      <c r="K798" t="e">
        <f t="shared" si="166"/>
        <v>#N/A</v>
      </c>
      <c r="L798">
        <f t="shared" ref="L798:L863" si="170">IF(A798&lt;0,A798,"")</f>
        <v>-23.64</v>
      </c>
      <c r="M798" t="str">
        <f t="shared" ref="M798:M862" si="171">IF(AND(L799&lt;L798,L799&lt;L800,L799&lt;$G$5),L799,"")</f>
        <v/>
      </c>
      <c r="N798" t="e">
        <f t="shared" si="167"/>
        <v>#N/A</v>
      </c>
      <c r="P798">
        <f t="shared" ref="P798:P863" si="172">IF(A798&gt;0,1,2)</f>
        <v>2</v>
      </c>
      <c r="Q798" t="str">
        <f t="shared" ref="Q798:Q863" ca="1" si="173">IF(AND(A799&gt;=0,A798&lt;0),CELL("ROW",A799),IF(AND(A799&lt;0,A798&gt;=0),CELL("ROW",A799),""))</f>
        <v/>
      </c>
      <c r="R798" t="str">
        <f t="shared" ref="R798:R863" ca="1" si="174">IF(ISNUMBER(K798),IF(INT(K798)=K798,K798,""),"")&amp;IF(ISNUMBER(N798),IF(INT(N798)=N798,N798,""),"")&amp;IF(ISNUMBER(Q798),IF(INT(Q798)=Q798,Q798,""),"")</f>
        <v/>
      </c>
      <c r="T798">
        <f t="shared" ref="T798:T863" si="175">S799-S798</f>
        <v>0</v>
      </c>
      <c r="V798">
        <v>2</v>
      </c>
      <c r="W798" t="str">
        <f t="shared" si="165"/>
        <v/>
      </c>
    </row>
    <row r="799" spans="1:23" outlineLevel="2" x14ac:dyDescent="0.3">
      <c r="A799">
        <v>-23.89</v>
      </c>
      <c r="I799" t="str">
        <f t="shared" si="168"/>
        <v/>
      </c>
      <c r="J799" t="str">
        <f t="shared" si="169"/>
        <v/>
      </c>
      <c r="K799" t="e">
        <f t="shared" si="166"/>
        <v>#N/A</v>
      </c>
      <c r="L799">
        <f t="shared" si="170"/>
        <v>-23.89</v>
      </c>
      <c r="M799" t="str">
        <f t="shared" si="171"/>
        <v/>
      </c>
      <c r="N799" t="e">
        <f t="shared" si="167"/>
        <v>#N/A</v>
      </c>
      <c r="P799">
        <f t="shared" si="172"/>
        <v>2</v>
      </c>
      <c r="Q799" t="str">
        <f t="shared" ca="1" si="173"/>
        <v/>
      </c>
      <c r="R799" t="str">
        <f t="shared" ca="1" si="174"/>
        <v/>
      </c>
      <c r="T799">
        <f t="shared" si="175"/>
        <v>0</v>
      </c>
      <c r="V799">
        <v>2</v>
      </c>
      <c r="W799" t="str">
        <f t="shared" si="165"/>
        <v/>
      </c>
    </row>
    <row r="800" spans="1:23" outlineLevel="2" x14ac:dyDescent="0.3">
      <c r="A800">
        <v>-25.15</v>
      </c>
      <c r="I800" t="str">
        <f t="shared" si="168"/>
        <v/>
      </c>
      <c r="J800" t="str">
        <f t="shared" si="169"/>
        <v/>
      </c>
      <c r="K800" t="e">
        <f t="shared" si="166"/>
        <v>#N/A</v>
      </c>
      <c r="L800">
        <f t="shared" si="170"/>
        <v>-25.15</v>
      </c>
      <c r="M800" t="str">
        <f t="shared" si="171"/>
        <v/>
      </c>
      <c r="N800" t="e">
        <f t="shared" si="167"/>
        <v>#N/A</v>
      </c>
      <c r="P800">
        <f t="shared" si="172"/>
        <v>2</v>
      </c>
      <c r="Q800" t="str">
        <f t="shared" ca="1" si="173"/>
        <v/>
      </c>
      <c r="R800" t="str">
        <f t="shared" ca="1" si="174"/>
        <v/>
      </c>
      <c r="T800">
        <f t="shared" si="175"/>
        <v>0</v>
      </c>
      <c r="V800">
        <v>2</v>
      </c>
      <c r="W800" t="str">
        <f t="shared" si="165"/>
        <v/>
      </c>
    </row>
    <row r="801" spans="1:23" outlineLevel="2" x14ac:dyDescent="0.3">
      <c r="A801">
        <v>-25.27</v>
      </c>
      <c r="I801" t="str">
        <f t="shared" si="168"/>
        <v/>
      </c>
      <c r="J801" t="str">
        <f t="shared" si="169"/>
        <v/>
      </c>
      <c r="K801" t="e">
        <f t="shared" si="166"/>
        <v>#N/A</v>
      </c>
      <c r="L801">
        <f t="shared" si="170"/>
        <v>-25.27</v>
      </c>
      <c r="M801" t="str">
        <f t="shared" si="171"/>
        <v/>
      </c>
      <c r="N801" t="e">
        <f t="shared" si="167"/>
        <v>#N/A</v>
      </c>
      <c r="P801">
        <f t="shared" si="172"/>
        <v>2</v>
      </c>
      <c r="Q801" t="str">
        <f t="shared" ca="1" si="173"/>
        <v/>
      </c>
      <c r="R801" t="str">
        <f t="shared" ca="1" si="174"/>
        <v/>
      </c>
      <c r="T801">
        <f t="shared" si="175"/>
        <v>0</v>
      </c>
      <c r="V801">
        <v>2</v>
      </c>
      <c r="W801" t="str">
        <f t="shared" si="165"/>
        <v/>
      </c>
    </row>
    <row r="802" spans="1:23" outlineLevel="2" x14ac:dyDescent="0.3">
      <c r="A802">
        <v>-23.53</v>
      </c>
      <c r="I802" t="str">
        <f t="shared" si="168"/>
        <v/>
      </c>
      <c r="J802" t="str">
        <f t="shared" si="169"/>
        <v/>
      </c>
      <c r="K802" t="e">
        <f t="shared" si="166"/>
        <v>#N/A</v>
      </c>
      <c r="L802">
        <f t="shared" si="170"/>
        <v>-23.53</v>
      </c>
      <c r="M802" t="str">
        <f t="shared" si="171"/>
        <v/>
      </c>
      <c r="N802" t="e">
        <f t="shared" si="167"/>
        <v>#N/A</v>
      </c>
      <c r="P802">
        <f t="shared" si="172"/>
        <v>2</v>
      </c>
      <c r="Q802" t="str">
        <f t="shared" ca="1" si="173"/>
        <v/>
      </c>
      <c r="R802" t="str">
        <f t="shared" ca="1" si="174"/>
        <v/>
      </c>
      <c r="T802">
        <f t="shared" si="175"/>
        <v>0</v>
      </c>
      <c r="V802">
        <v>2</v>
      </c>
      <c r="W802" t="str">
        <f t="shared" si="165"/>
        <v/>
      </c>
    </row>
    <row r="803" spans="1:23" outlineLevel="2" x14ac:dyDescent="0.3">
      <c r="A803">
        <v>-21.61</v>
      </c>
      <c r="I803" t="str">
        <f t="shared" si="168"/>
        <v/>
      </c>
      <c r="J803" t="str">
        <f t="shared" si="169"/>
        <v/>
      </c>
      <c r="K803" t="e">
        <f t="shared" si="166"/>
        <v>#N/A</v>
      </c>
      <c r="L803">
        <f t="shared" si="170"/>
        <v>-21.61</v>
      </c>
      <c r="M803" t="str">
        <f t="shared" si="171"/>
        <v/>
      </c>
      <c r="N803" t="e">
        <f t="shared" si="167"/>
        <v>#N/A</v>
      </c>
      <c r="P803">
        <f t="shared" si="172"/>
        <v>2</v>
      </c>
      <c r="Q803" t="str">
        <f t="shared" ca="1" si="173"/>
        <v/>
      </c>
      <c r="R803" t="str">
        <f t="shared" ca="1" si="174"/>
        <v/>
      </c>
      <c r="T803">
        <f t="shared" si="175"/>
        <v>0</v>
      </c>
      <c r="V803">
        <v>2</v>
      </c>
      <c r="W803" t="str">
        <f t="shared" si="165"/>
        <v/>
      </c>
    </row>
    <row r="804" spans="1:23" outlineLevel="2" x14ac:dyDescent="0.3">
      <c r="A804">
        <v>-19.78</v>
      </c>
      <c r="I804" t="str">
        <f t="shared" si="168"/>
        <v/>
      </c>
      <c r="J804" t="str">
        <f t="shared" si="169"/>
        <v/>
      </c>
      <c r="K804" t="e">
        <f t="shared" si="166"/>
        <v>#N/A</v>
      </c>
      <c r="L804">
        <f t="shared" si="170"/>
        <v>-19.78</v>
      </c>
      <c r="M804" t="str">
        <f t="shared" si="171"/>
        <v/>
      </c>
      <c r="N804" t="e">
        <f t="shared" si="167"/>
        <v>#N/A</v>
      </c>
      <c r="P804">
        <f t="shared" si="172"/>
        <v>2</v>
      </c>
      <c r="Q804" t="str">
        <f t="shared" ca="1" si="173"/>
        <v/>
      </c>
      <c r="R804" t="str">
        <f t="shared" ca="1" si="174"/>
        <v/>
      </c>
      <c r="T804">
        <f t="shared" si="175"/>
        <v>0</v>
      </c>
      <c r="V804">
        <v>2</v>
      </c>
      <c r="W804" t="str">
        <f t="shared" si="165"/>
        <v/>
      </c>
    </row>
    <row r="805" spans="1:23" outlineLevel="2" x14ac:dyDescent="0.3">
      <c r="A805">
        <v>-18.34</v>
      </c>
      <c r="I805" t="str">
        <f t="shared" si="168"/>
        <v/>
      </c>
      <c r="J805" t="str">
        <f t="shared" si="169"/>
        <v/>
      </c>
      <c r="K805" t="e">
        <f t="shared" si="166"/>
        <v>#N/A</v>
      </c>
      <c r="L805">
        <f t="shared" si="170"/>
        <v>-18.34</v>
      </c>
      <c r="M805" t="str">
        <f t="shared" si="171"/>
        <v/>
      </c>
      <c r="N805" t="e">
        <f t="shared" si="167"/>
        <v>#N/A</v>
      </c>
      <c r="P805">
        <f t="shared" si="172"/>
        <v>2</v>
      </c>
      <c r="Q805" t="str">
        <f t="shared" ca="1" si="173"/>
        <v/>
      </c>
      <c r="R805" t="str">
        <f t="shared" ca="1" si="174"/>
        <v/>
      </c>
      <c r="T805">
        <f t="shared" si="175"/>
        <v>0</v>
      </c>
      <c r="V805">
        <v>2</v>
      </c>
      <c r="W805" t="str">
        <f t="shared" si="165"/>
        <v/>
      </c>
    </row>
    <row r="806" spans="1:23" outlineLevel="2" x14ac:dyDescent="0.3">
      <c r="A806">
        <v>-18.29</v>
      </c>
      <c r="I806" t="str">
        <f t="shared" si="168"/>
        <v/>
      </c>
      <c r="J806" t="str">
        <f t="shared" si="169"/>
        <v/>
      </c>
      <c r="K806" t="e">
        <f t="shared" si="166"/>
        <v>#N/A</v>
      </c>
      <c r="L806">
        <f t="shared" si="170"/>
        <v>-18.29</v>
      </c>
      <c r="M806" t="str">
        <f t="shared" si="171"/>
        <v/>
      </c>
      <c r="N806" t="e">
        <f t="shared" si="167"/>
        <v>#N/A</v>
      </c>
      <c r="P806">
        <f t="shared" si="172"/>
        <v>2</v>
      </c>
      <c r="Q806" t="str">
        <f t="shared" ca="1" si="173"/>
        <v/>
      </c>
      <c r="R806" t="str">
        <f t="shared" ca="1" si="174"/>
        <v/>
      </c>
      <c r="T806">
        <f t="shared" si="175"/>
        <v>0</v>
      </c>
      <c r="V806">
        <v>2</v>
      </c>
      <c r="W806" t="str">
        <f t="shared" si="165"/>
        <v/>
      </c>
    </row>
    <row r="807" spans="1:23" outlineLevel="2" x14ac:dyDescent="0.3">
      <c r="A807">
        <v>-18.53</v>
      </c>
      <c r="I807" t="str">
        <f t="shared" si="168"/>
        <v/>
      </c>
      <c r="J807" t="str">
        <f t="shared" si="169"/>
        <v/>
      </c>
      <c r="K807" t="e">
        <f t="shared" si="166"/>
        <v>#N/A</v>
      </c>
      <c r="L807">
        <f t="shared" si="170"/>
        <v>-18.53</v>
      </c>
      <c r="M807" t="str">
        <f t="shared" si="171"/>
        <v/>
      </c>
      <c r="N807" t="e">
        <f t="shared" si="167"/>
        <v>#N/A</v>
      </c>
      <c r="P807">
        <f t="shared" si="172"/>
        <v>2</v>
      </c>
      <c r="Q807" t="str">
        <f t="shared" ca="1" si="173"/>
        <v/>
      </c>
      <c r="R807" t="str">
        <f t="shared" ca="1" si="174"/>
        <v/>
      </c>
      <c r="T807">
        <f t="shared" si="175"/>
        <v>0</v>
      </c>
      <c r="V807">
        <v>2</v>
      </c>
      <c r="W807" t="str">
        <f t="shared" si="165"/>
        <v/>
      </c>
    </row>
    <row r="808" spans="1:23" outlineLevel="2" x14ac:dyDescent="0.3">
      <c r="A808">
        <v>-17.66</v>
      </c>
      <c r="I808" t="str">
        <f t="shared" si="168"/>
        <v/>
      </c>
      <c r="J808" t="str">
        <f t="shared" si="169"/>
        <v/>
      </c>
      <c r="K808" t="e">
        <f t="shared" si="166"/>
        <v>#N/A</v>
      </c>
      <c r="L808">
        <f t="shared" si="170"/>
        <v>-17.66</v>
      </c>
      <c r="M808" t="str">
        <f t="shared" si="171"/>
        <v/>
      </c>
      <c r="N808" t="e">
        <f t="shared" si="167"/>
        <v>#N/A</v>
      </c>
      <c r="P808">
        <f t="shared" si="172"/>
        <v>2</v>
      </c>
      <c r="Q808" t="str">
        <f t="shared" ca="1" si="173"/>
        <v/>
      </c>
      <c r="R808" t="str">
        <f t="shared" ca="1" si="174"/>
        <v/>
      </c>
      <c r="T808">
        <f t="shared" si="175"/>
        <v>0</v>
      </c>
      <c r="V808">
        <v>2</v>
      </c>
      <c r="W808" t="str">
        <f t="shared" si="165"/>
        <v/>
      </c>
    </row>
    <row r="809" spans="1:23" outlineLevel="2" x14ac:dyDescent="0.3">
      <c r="A809">
        <v>-16.91</v>
      </c>
      <c r="I809" t="str">
        <f t="shared" si="168"/>
        <v/>
      </c>
      <c r="J809" t="str">
        <f t="shared" si="169"/>
        <v/>
      </c>
      <c r="K809" t="e">
        <f t="shared" si="166"/>
        <v>#N/A</v>
      </c>
      <c r="L809">
        <f t="shared" si="170"/>
        <v>-16.91</v>
      </c>
      <c r="M809" t="str">
        <f t="shared" si="171"/>
        <v/>
      </c>
      <c r="N809" t="e">
        <f t="shared" si="167"/>
        <v>#N/A</v>
      </c>
      <c r="P809">
        <f t="shared" si="172"/>
        <v>2</v>
      </c>
      <c r="Q809" t="str">
        <f t="shared" ca="1" si="173"/>
        <v/>
      </c>
      <c r="R809" t="str">
        <f t="shared" ca="1" si="174"/>
        <v/>
      </c>
      <c r="T809">
        <f t="shared" si="175"/>
        <v>0</v>
      </c>
      <c r="V809">
        <v>2</v>
      </c>
      <c r="W809" t="str">
        <f t="shared" si="165"/>
        <v/>
      </c>
    </row>
    <row r="810" spans="1:23" outlineLevel="2" x14ac:dyDescent="0.3">
      <c r="A810">
        <v>-16.47</v>
      </c>
      <c r="I810" t="str">
        <f t="shared" si="168"/>
        <v/>
      </c>
      <c r="J810" t="str">
        <f t="shared" si="169"/>
        <v/>
      </c>
      <c r="K810" t="e">
        <f t="shared" si="166"/>
        <v>#N/A</v>
      </c>
      <c r="L810">
        <f t="shared" si="170"/>
        <v>-16.47</v>
      </c>
      <c r="M810" t="str">
        <f t="shared" si="171"/>
        <v/>
      </c>
      <c r="N810" t="e">
        <f t="shared" si="167"/>
        <v>#N/A</v>
      </c>
      <c r="P810">
        <f t="shared" si="172"/>
        <v>2</v>
      </c>
      <c r="Q810" t="str">
        <f t="shared" ca="1" si="173"/>
        <v/>
      </c>
      <c r="R810" t="str">
        <f t="shared" ca="1" si="174"/>
        <v/>
      </c>
      <c r="T810">
        <f t="shared" si="175"/>
        <v>0</v>
      </c>
      <c r="V810">
        <v>2</v>
      </c>
      <c r="W810" t="str">
        <f t="shared" si="165"/>
        <v/>
      </c>
    </row>
    <row r="811" spans="1:23" outlineLevel="2" x14ac:dyDescent="0.3">
      <c r="A811">
        <v>-16.010000000000002</v>
      </c>
      <c r="I811" t="str">
        <f t="shared" si="168"/>
        <v/>
      </c>
      <c r="J811" t="str">
        <f t="shared" si="169"/>
        <v/>
      </c>
      <c r="K811" t="e">
        <f t="shared" si="166"/>
        <v>#N/A</v>
      </c>
      <c r="L811">
        <f t="shared" si="170"/>
        <v>-16.010000000000002</v>
      </c>
      <c r="M811" t="str">
        <f t="shared" si="171"/>
        <v/>
      </c>
      <c r="N811" t="e">
        <f t="shared" si="167"/>
        <v>#N/A</v>
      </c>
      <c r="P811">
        <f t="shared" si="172"/>
        <v>2</v>
      </c>
      <c r="Q811" t="str">
        <f t="shared" ca="1" si="173"/>
        <v/>
      </c>
      <c r="R811" t="str">
        <f t="shared" ca="1" si="174"/>
        <v/>
      </c>
      <c r="T811">
        <f t="shared" si="175"/>
        <v>0</v>
      </c>
      <c r="V811">
        <v>2</v>
      </c>
      <c r="W811" t="str">
        <f t="shared" si="165"/>
        <v/>
      </c>
    </row>
    <row r="812" spans="1:23" outlineLevel="2" x14ac:dyDescent="0.3">
      <c r="A812">
        <v>-15.79</v>
      </c>
      <c r="I812" t="str">
        <f t="shared" si="168"/>
        <v/>
      </c>
      <c r="J812" t="str">
        <f>IF(AND(I813&gt;I812,I813&gt;I815,I813&gt;$D$5),I813,"")</f>
        <v/>
      </c>
      <c r="K812" t="e">
        <f t="shared" si="166"/>
        <v>#N/A</v>
      </c>
      <c r="L812">
        <f t="shared" si="170"/>
        <v>-15.79</v>
      </c>
      <c r="M812" t="str">
        <f>IF(AND(L813&lt;L812,L813&lt;L815,L813&lt;$G$5),L813,"")</f>
        <v/>
      </c>
      <c r="N812" t="e">
        <f t="shared" si="167"/>
        <v>#N/A</v>
      </c>
      <c r="P812">
        <f t="shared" si="172"/>
        <v>2</v>
      </c>
      <c r="Q812" t="str">
        <f t="shared" ca="1" si="173"/>
        <v/>
      </c>
      <c r="R812" t="str">
        <f t="shared" ca="1" si="174"/>
        <v/>
      </c>
      <c r="T812">
        <f t="shared" si="175"/>
        <v>0</v>
      </c>
      <c r="V812">
        <v>2</v>
      </c>
      <c r="W812" t="str">
        <f t="shared" si="165"/>
        <v/>
      </c>
    </row>
    <row r="813" spans="1:23" outlineLevel="2" x14ac:dyDescent="0.3">
      <c r="A813">
        <v>-13.54</v>
      </c>
      <c r="I813" t="str">
        <f t="shared" si="168"/>
        <v/>
      </c>
      <c r="J813" t="str">
        <f>IF(AND(I815&gt;I813,I815&gt;I816,I815&gt;$D$5),I815,"")</f>
        <v/>
      </c>
      <c r="K813" t="e">
        <f t="shared" si="166"/>
        <v>#N/A</v>
      </c>
      <c r="L813">
        <f t="shared" si="170"/>
        <v>-13.54</v>
      </c>
      <c r="M813" t="str">
        <f>IF(AND(L815&lt;L813,L815&lt;L816,L815&lt;$G$5),L815,"")</f>
        <v/>
      </c>
      <c r="N813" t="e">
        <f t="shared" si="167"/>
        <v>#N/A</v>
      </c>
      <c r="P813">
        <f t="shared" si="172"/>
        <v>2</v>
      </c>
      <c r="Q813">
        <f ca="1">IF(AND(A815&gt;=0,A813&lt;0),CELL("ROW",A815),IF(AND(A815&lt;0,A813&gt;=0),CELL("ROW",A815),""))</f>
        <v>815</v>
      </c>
      <c r="R813" t="str">
        <f t="shared" ca="1" si="174"/>
        <v>815</v>
      </c>
      <c r="T813">
        <f>S815-S813</f>
        <v>0</v>
      </c>
      <c r="V813">
        <v>2</v>
      </c>
      <c r="W813" t="str">
        <f t="shared" si="165"/>
        <v/>
      </c>
    </row>
    <row r="814" spans="1:23" outlineLevel="1" x14ac:dyDescent="0.3">
      <c r="O814" s="1" t="s">
        <v>27</v>
      </c>
      <c r="P814">
        <f>SUBTOTAL(3,P774:P813)</f>
        <v>40</v>
      </c>
      <c r="V814">
        <v>40</v>
      </c>
      <c r="W814" t="str">
        <f t="shared" si="165"/>
        <v/>
      </c>
    </row>
    <row r="815" spans="1:23" outlineLevel="2" x14ac:dyDescent="0.3">
      <c r="A815">
        <v>12.13</v>
      </c>
      <c r="I815">
        <f t="shared" si="168"/>
        <v>12.13</v>
      </c>
      <c r="J815" t="str">
        <f t="shared" si="169"/>
        <v/>
      </c>
      <c r="K815" t="e">
        <f t="shared" ref="K815:K837" si="176">MATCH(J815,$A$1:$A$10041,0)</f>
        <v>#N/A</v>
      </c>
      <c r="L815" t="str">
        <f t="shared" si="170"/>
        <v/>
      </c>
      <c r="M815" t="str">
        <f t="shared" si="171"/>
        <v/>
      </c>
      <c r="N815" t="e">
        <f t="shared" ref="N815:N837" si="177">MATCH(M815,$A$1:$A$10041,0)</f>
        <v>#N/A</v>
      </c>
      <c r="P815">
        <f t="shared" si="172"/>
        <v>1</v>
      </c>
      <c r="Q815" t="str">
        <f t="shared" ca="1" si="173"/>
        <v/>
      </c>
      <c r="R815" t="str">
        <f t="shared" ca="1" si="174"/>
        <v/>
      </c>
      <c r="T815">
        <f t="shared" si="175"/>
        <v>0</v>
      </c>
      <c r="V815">
        <v>1</v>
      </c>
      <c r="W815" t="str">
        <f t="shared" si="165"/>
        <v/>
      </c>
    </row>
    <row r="816" spans="1:23" outlineLevel="2" x14ac:dyDescent="0.3">
      <c r="A816">
        <v>12.82</v>
      </c>
      <c r="I816">
        <f t="shared" si="168"/>
        <v>12.82</v>
      </c>
      <c r="J816" t="str">
        <f t="shared" si="169"/>
        <v/>
      </c>
      <c r="K816" t="e">
        <f t="shared" si="176"/>
        <v>#N/A</v>
      </c>
      <c r="L816" t="str">
        <f t="shared" si="170"/>
        <v/>
      </c>
      <c r="M816" t="str">
        <f t="shared" si="171"/>
        <v/>
      </c>
      <c r="N816" t="e">
        <f t="shared" si="177"/>
        <v>#N/A</v>
      </c>
      <c r="P816">
        <f t="shared" si="172"/>
        <v>1</v>
      </c>
      <c r="Q816" t="str">
        <f t="shared" ca="1" si="173"/>
        <v/>
      </c>
      <c r="R816" t="str">
        <f t="shared" ca="1" si="174"/>
        <v/>
      </c>
      <c r="T816">
        <f t="shared" si="175"/>
        <v>0</v>
      </c>
      <c r="V816">
        <v>1</v>
      </c>
      <c r="W816" t="str">
        <f t="shared" si="165"/>
        <v/>
      </c>
    </row>
    <row r="817" spans="1:23" outlineLevel="2" x14ac:dyDescent="0.3">
      <c r="A817">
        <v>12.42</v>
      </c>
      <c r="I817">
        <f t="shared" si="168"/>
        <v>12.42</v>
      </c>
      <c r="J817" t="str">
        <f t="shared" si="169"/>
        <v/>
      </c>
      <c r="K817" t="e">
        <f t="shared" si="176"/>
        <v>#N/A</v>
      </c>
      <c r="L817" t="str">
        <f t="shared" si="170"/>
        <v/>
      </c>
      <c r="M817" t="str">
        <f t="shared" si="171"/>
        <v/>
      </c>
      <c r="N817" t="e">
        <f t="shared" si="177"/>
        <v>#N/A</v>
      </c>
      <c r="P817">
        <f t="shared" si="172"/>
        <v>1</v>
      </c>
      <c r="Q817" t="str">
        <f t="shared" ca="1" si="173"/>
        <v/>
      </c>
      <c r="R817" t="str">
        <f t="shared" ca="1" si="174"/>
        <v/>
      </c>
      <c r="T817">
        <f t="shared" si="175"/>
        <v>0</v>
      </c>
      <c r="V817">
        <v>1</v>
      </c>
      <c r="W817" t="str">
        <f t="shared" si="165"/>
        <v/>
      </c>
    </row>
    <row r="818" spans="1:23" outlineLevel="2" x14ac:dyDescent="0.3">
      <c r="A818">
        <v>12.19</v>
      </c>
      <c r="I818">
        <f t="shared" si="168"/>
        <v>12.19</v>
      </c>
      <c r="J818" t="str">
        <f t="shared" si="169"/>
        <v/>
      </c>
      <c r="K818" t="e">
        <f t="shared" si="176"/>
        <v>#N/A</v>
      </c>
      <c r="L818" t="str">
        <f t="shared" si="170"/>
        <v/>
      </c>
      <c r="M818" t="str">
        <f t="shared" si="171"/>
        <v/>
      </c>
      <c r="N818" t="e">
        <f t="shared" si="177"/>
        <v>#N/A</v>
      </c>
      <c r="P818">
        <f t="shared" si="172"/>
        <v>1</v>
      </c>
      <c r="Q818" t="str">
        <f t="shared" ca="1" si="173"/>
        <v/>
      </c>
      <c r="R818" t="str">
        <f t="shared" ca="1" si="174"/>
        <v/>
      </c>
      <c r="T818">
        <f t="shared" si="175"/>
        <v>0</v>
      </c>
      <c r="V818">
        <v>1</v>
      </c>
      <c r="W818" t="str">
        <f t="shared" si="165"/>
        <v/>
      </c>
    </row>
    <row r="819" spans="1:23" outlineLevel="2" x14ac:dyDescent="0.3">
      <c r="A819">
        <v>12.29</v>
      </c>
      <c r="I819">
        <f t="shared" si="168"/>
        <v>12.29</v>
      </c>
      <c r="J819" t="str">
        <f t="shared" si="169"/>
        <v/>
      </c>
      <c r="K819" t="e">
        <f t="shared" si="176"/>
        <v>#N/A</v>
      </c>
      <c r="L819" t="str">
        <f t="shared" si="170"/>
        <v/>
      </c>
      <c r="M819" t="str">
        <f t="shared" si="171"/>
        <v/>
      </c>
      <c r="N819" t="e">
        <f t="shared" si="177"/>
        <v>#N/A</v>
      </c>
      <c r="P819">
        <f t="shared" si="172"/>
        <v>1</v>
      </c>
      <c r="Q819" t="str">
        <f t="shared" ca="1" si="173"/>
        <v/>
      </c>
      <c r="R819" t="str">
        <f t="shared" ca="1" si="174"/>
        <v/>
      </c>
      <c r="T819">
        <f t="shared" si="175"/>
        <v>0</v>
      </c>
      <c r="V819">
        <v>1</v>
      </c>
      <c r="W819" t="str">
        <f t="shared" si="165"/>
        <v/>
      </c>
    </row>
    <row r="820" spans="1:23" outlineLevel="2" x14ac:dyDescent="0.3">
      <c r="A820">
        <v>12.77</v>
      </c>
      <c r="I820">
        <f t="shared" si="168"/>
        <v>12.77</v>
      </c>
      <c r="J820" t="str">
        <f t="shared" si="169"/>
        <v/>
      </c>
      <c r="K820" t="e">
        <f t="shared" si="176"/>
        <v>#N/A</v>
      </c>
      <c r="L820" t="str">
        <f t="shared" si="170"/>
        <v/>
      </c>
      <c r="M820" t="str">
        <f t="shared" si="171"/>
        <v/>
      </c>
      <c r="N820" t="e">
        <f t="shared" si="177"/>
        <v>#N/A</v>
      </c>
      <c r="P820">
        <f t="shared" si="172"/>
        <v>1</v>
      </c>
      <c r="Q820" t="str">
        <f t="shared" ca="1" si="173"/>
        <v/>
      </c>
      <c r="R820" t="str">
        <f t="shared" ca="1" si="174"/>
        <v/>
      </c>
      <c r="T820">
        <f t="shared" si="175"/>
        <v>0</v>
      </c>
      <c r="V820">
        <v>1</v>
      </c>
      <c r="W820" t="str">
        <f t="shared" si="165"/>
        <v/>
      </c>
    </row>
    <row r="821" spans="1:23" outlineLevel="2" x14ac:dyDescent="0.3">
      <c r="A821">
        <v>12.66</v>
      </c>
      <c r="I821">
        <f t="shared" si="168"/>
        <v>12.66</v>
      </c>
      <c r="J821" t="str">
        <f t="shared" si="169"/>
        <v/>
      </c>
      <c r="K821" t="e">
        <f t="shared" si="176"/>
        <v>#N/A</v>
      </c>
      <c r="L821" t="str">
        <f t="shared" si="170"/>
        <v/>
      </c>
      <c r="M821" t="str">
        <f t="shared" si="171"/>
        <v/>
      </c>
      <c r="N821" t="e">
        <f t="shared" si="177"/>
        <v>#N/A</v>
      </c>
      <c r="P821">
        <f t="shared" si="172"/>
        <v>1</v>
      </c>
      <c r="Q821" t="str">
        <f t="shared" ca="1" si="173"/>
        <v/>
      </c>
      <c r="R821" t="str">
        <f t="shared" ca="1" si="174"/>
        <v/>
      </c>
      <c r="T821">
        <f t="shared" si="175"/>
        <v>0</v>
      </c>
      <c r="V821">
        <v>1</v>
      </c>
      <c r="W821" t="str">
        <f t="shared" si="165"/>
        <v/>
      </c>
    </row>
    <row r="822" spans="1:23" outlineLevel="2" x14ac:dyDescent="0.3">
      <c r="A822">
        <v>12</v>
      </c>
      <c r="I822">
        <f t="shared" si="168"/>
        <v>12</v>
      </c>
      <c r="J822" t="str">
        <f t="shared" si="169"/>
        <v/>
      </c>
      <c r="K822" t="e">
        <f t="shared" si="176"/>
        <v>#N/A</v>
      </c>
      <c r="L822" t="str">
        <f t="shared" si="170"/>
        <v/>
      </c>
      <c r="M822" t="str">
        <f t="shared" si="171"/>
        <v/>
      </c>
      <c r="N822" t="e">
        <f t="shared" si="177"/>
        <v>#N/A</v>
      </c>
      <c r="P822">
        <f t="shared" si="172"/>
        <v>1</v>
      </c>
      <c r="Q822" t="str">
        <f t="shared" ca="1" si="173"/>
        <v/>
      </c>
      <c r="R822" t="str">
        <f t="shared" ca="1" si="174"/>
        <v/>
      </c>
      <c r="T822">
        <f t="shared" si="175"/>
        <v>0</v>
      </c>
      <c r="V822">
        <v>1</v>
      </c>
      <c r="W822" t="str">
        <f t="shared" si="165"/>
        <v/>
      </c>
    </row>
    <row r="823" spans="1:23" outlineLevel="2" x14ac:dyDescent="0.3">
      <c r="A823">
        <v>15.12</v>
      </c>
      <c r="I823">
        <f t="shared" si="168"/>
        <v>15.12</v>
      </c>
      <c r="J823" t="str">
        <f t="shared" si="169"/>
        <v/>
      </c>
      <c r="K823" t="e">
        <f t="shared" si="176"/>
        <v>#N/A</v>
      </c>
      <c r="L823" t="str">
        <f t="shared" si="170"/>
        <v/>
      </c>
      <c r="M823" t="str">
        <f t="shared" si="171"/>
        <v/>
      </c>
      <c r="N823" t="e">
        <f t="shared" si="177"/>
        <v>#N/A</v>
      </c>
      <c r="P823">
        <f t="shared" si="172"/>
        <v>1</v>
      </c>
      <c r="Q823" t="str">
        <f t="shared" ca="1" si="173"/>
        <v/>
      </c>
      <c r="R823" t="str">
        <f t="shared" ca="1" si="174"/>
        <v/>
      </c>
      <c r="T823">
        <f t="shared" si="175"/>
        <v>0</v>
      </c>
      <c r="V823">
        <v>1</v>
      </c>
      <c r="W823" t="str">
        <f t="shared" si="165"/>
        <v/>
      </c>
    </row>
    <row r="824" spans="1:23" outlineLevel="2" x14ac:dyDescent="0.3">
      <c r="A824">
        <v>16.55</v>
      </c>
      <c r="I824">
        <f t="shared" si="168"/>
        <v>16.55</v>
      </c>
      <c r="J824" t="str">
        <f t="shared" si="169"/>
        <v/>
      </c>
      <c r="K824" t="e">
        <f t="shared" si="176"/>
        <v>#N/A</v>
      </c>
      <c r="L824" t="str">
        <f t="shared" si="170"/>
        <v/>
      </c>
      <c r="M824" t="str">
        <f t="shared" si="171"/>
        <v/>
      </c>
      <c r="N824" t="e">
        <f t="shared" si="177"/>
        <v>#N/A</v>
      </c>
      <c r="P824">
        <f t="shared" si="172"/>
        <v>1</v>
      </c>
      <c r="Q824" t="str">
        <f t="shared" ca="1" si="173"/>
        <v/>
      </c>
      <c r="R824" t="str">
        <f t="shared" ca="1" si="174"/>
        <v/>
      </c>
      <c r="T824">
        <f t="shared" si="175"/>
        <v>0</v>
      </c>
      <c r="V824">
        <v>1</v>
      </c>
      <c r="W824" t="str">
        <f t="shared" si="165"/>
        <v/>
      </c>
    </row>
    <row r="825" spans="1:23" outlineLevel="2" x14ac:dyDescent="0.3">
      <c r="A825">
        <v>16.739999999999998</v>
      </c>
      <c r="I825">
        <f t="shared" si="168"/>
        <v>16.739999999999998</v>
      </c>
      <c r="J825" t="str">
        <f t="shared" si="169"/>
        <v/>
      </c>
      <c r="K825" t="e">
        <f t="shared" si="176"/>
        <v>#N/A</v>
      </c>
      <c r="L825" t="str">
        <f t="shared" si="170"/>
        <v/>
      </c>
      <c r="M825" t="str">
        <f t="shared" si="171"/>
        <v/>
      </c>
      <c r="N825" t="e">
        <f t="shared" si="177"/>
        <v>#N/A</v>
      </c>
      <c r="P825">
        <f t="shared" si="172"/>
        <v>1</v>
      </c>
      <c r="Q825" t="str">
        <f t="shared" ca="1" si="173"/>
        <v/>
      </c>
      <c r="R825" t="str">
        <f t="shared" ca="1" si="174"/>
        <v/>
      </c>
      <c r="T825">
        <f t="shared" si="175"/>
        <v>0</v>
      </c>
      <c r="V825">
        <v>1</v>
      </c>
      <c r="W825" t="str">
        <f t="shared" si="165"/>
        <v/>
      </c>
    </row>
    <row r="826" spans="1:23" outlineLevel="2" x14ac:dyDescent="0.3">
      <c r="A826">
        <v>17.510000000000002</v>
      </c>
      <c r="I826">
        <f t="shared" si="168"/>
        <v>17.510000000000002</v>
      </c>
      <c r="J826" t="str">
        <f t="shared" si="169"/>
        <v/>
      </c>
      <c r="K826" t="e">
        <f t="shared" si="176"/>
        <v>#N/A</v>
      </c>
      <c r="L826" t="str">
        <f t="shared" si="170"/>
        <v/>
      </c>
      <c r="M826" t="str">
        <f t="shared" si="171"/>
        <v/>
      </c>
      <c r="N826" t="e">
        <f t="shared" si="177"/>
        <v>#N/A</v>
      </c>
      <c r="P826">
        <f t="shared" si="172"/>
        <v>1</v>
      </c>
      <c r="Q826" t="str">
        <f t="shared" ca="1" si="173"/>
        <v/>
      </c>
      <c r="R826" t="str">
        <f t="shared" ca="1" si="174"/>
        <v/>
      </c>
      <c r="T826">
        <f t="shared" si="175"/>
        <v>0</v>
      </c>
      <c r="V826">
        <v>1</v>
      </c>
      <c r="W826" t="str">
        <f t="shared" si="165"/>
        <v/>
      </c>
    </row>
    <row r="827" spans="1:23" outlineLevel="2" x14ac:dyDescent="0.3">
      <c r="A827">
        <v>18.079999999999998</v>
      </c>
      <c r="I827">
        <f t="shared" si="168"/>
        <v>18.079999999999998</v>
      </c>
      <c r="J827" t="str">
        <f t="shared" si="169"/>
        <v/>
      </c>
      <c r="K827" t="e">
        <f t="shared" si="176"/>
        <v>#N/A</v>
      </c>
      <c r="L827" t="str">
        <f t="shared" si="170"/>
        <v/>
      </c>
      <c r="M827" t="str">
        <f t="shared" si="171"/>
        <v/>
      </c>
      <c r="N827" t="e">
        <f t="shared" si="177"/>
        <v>#N/A</v>
      </c>
      <c r="P827">
        <f t="shared" si="172"/>
        <v>1</v>
      </c>
      <c r="Q827" t="str">
        <f t="shared" ca="1" si="173"/>
        <v/>
      </c>
      <c r="R827" t="str">
        <f t="shared" ca="1" si="174"/>
        <v/>
      </c>
      <c r="T827">
        <f t="shared" si="175"/>
        <v>0</v>
      </c>
      <c r="V827">
        <v>1</v>
      </c>
      <c r="W827" t="str">
        <f t="shared" si="165"/>
        <v/>
      </c>
    </row>
    <row r="828" spans="1:23" outlineLevel="2" x14ac:dyDescent="0.3">
      <c r="A828">
        <v>16.63</v>
      </c>
      <c r="I828">
        <f t="shared" si="168"/>
        <v>16.63</v>
      </c>
      <c r="J828" t="str">
        <f t="shared" si="169"/>
        <v/>
      </c>
      <c r="K828" t="e">
        <f t="shared" si="176"/>
        <v>#N/A</v>
      </c>
      <c r="L828" t="str">
        <f t="shared" si="170"/>
        <v/>
      </c>
      <c r="M828" t="str">
        <f t="shared" si="171"/>
        <v/>
      </c>
      <c r="N828" t="e">
        <f t="shared" si="177"/>
        <v>#N/A</v>
      </c>
      <c r="P828">
        <f t="shared" si="172"/>
        <v>1</v>
      </c>
      <c r="Q828" t="str">
        <f t="shared" ca="1" si="173"/>
        <v/>
      </c>
      <c r="R828" t="str">
        <f t="shared" ca="1" si="174"/>
        <v/>
      </c>
      <c r="T828">
        <f t="shared" si="175"/>
        <v>0</v>
      </c>
      <c r="V828">
        <v>1</v>
      </c>
      <c r="W828" t="str">
        <f t="shared" si="165"/>
        <v/>
      </c>
    </row>
    <row r="829" spans="1:23" outlineLevel="2" x14ac:dyDescent="0.3">
      <c r="A829">
        <v>14.8</v>
      </c>
      <c r="I829">
        <f t="shared" si="168"/>
        <v>14.8</v>
      </c>
      <c r="J829" t="str">
        <f t="shared" si="169"/>
        <v/>
      </c>
      <c r="K829" t="e">
        <f t="shared" si="176"/>
        <v>#N/A</v>
      </c>
      <c r="L829" t="str">
        <f t="shared" si="170"/>
        <v/>
      </c>
      <c r="M829" t="str">
        <f t="shared" si="171"/>
        <v/>
      </c>
      <c r="N829" t="e">
        <f t="shared" si="177"/>
        <v>#N/A</v>
      </c>
      <c r="P829">
        <f t="shared" si="172"/>
        <v>1</v>
      </c>
      <c r="Q829" t="str">
        <f t="shared" ca="1" si="173"/>
        <v/>
      </c>
      <c r="R829" t="str">
        <f t="shared" ca="1" si="174"/>
        <v/>
      </c>
      <c r="T829">
        <f t="shared" si="175"/>
        <v>0</v>
      </c>
      <c r="V829">
        <v>1</v>
      </c>
      <c r="W829" t="str">
        <f t="shared" si="165"/>
        <v/>
      </c>
    </row>
    <row r="830" spans="1:23" outlineLevel="2" x14ac:dyDescent="0.3">
      <c r="A830">
        <v>14.92</v>
      </c>
      <c r="I830">
        <f t="shared" si="168"/>
        <v>14.92</v>
      </c>
      <c r="J830" t="str">
        <f t="shared" si="169"/>
        <v/>
      </c>
      <c r="K830" t="e">
        <f t="shared" si="176"/>
        <v>#N/A</v>
      </c>
      <c r="L830" t="str">
        <f t="shared" si="170"/>
        <v/>
      </c>
      <c r="M830" t="str">
        <f t="shared" si="171"/>
        <v/>
      </c>
      <c r="N830" t="e">
        <f t="shared" si="177"/>
        <v>#N/A</v>
      </c>
      <c r="P830">
        <f t="shared" si="172"/>
        <v>1</v>
      </c>
      <c r="Q830" t="str">
        <f t="shared" ca="1" si="173"/>
        <v/>
      </c>
      <c r="R830" t="str">
        <f t="shared" ca="1" si="174"/>
        <v/>
      </c>
      <c r="T830">
        <f t="shared" si="175"/>
        <v>0</v>
      </c>
      <c r="V830">
        <v>1</v>
      </c>
      <c r="W830" t="str">
        <f t="shared" si="165"/>
        <v/>
      </c>
    </row>
    <row r="831" spans="1:23" outlineLevel="2" x14ac:dyDescent="0.3">
      <c r="A831">
        <v>15.85</v>
      </c>
      <c r="I831">
        <f t="shared" si="168"/>
        <v>15.85</v>
      </c>
      <c r="J831" t="str">
        <f t="shared" si="169"/>
        <v/>
      </c>
      <c r="K831" t="e">
        <f t="shared" si="176"/>
        <v>#N/A</v>
      </c>
      <c r="L831" t="str">
        <f t="shared" si="170"/>
        <v/>
      </c>
      <c r="M831" t="str">
        <f t="shared" si="171"/>
        <v/>
      </c>
      <c r="N831" t="e">
        <f t="shared" si="177"/>
        <v>#N/A</v>
      </c>
      <c r="P831">
        <f t="shared" si="172"/>
        <v>1</v>
      </c>
      <c r="Q831" t="str">
        <f t="shared" ca="1" si="173"/>
        <v/>
      </c>
      <c r="R831" t="str">
        <f t="shared" ca="1" si="174"/>
        <v/>
      </c>
      <c r="T831">
        <f t="shared" si="175"/>
        <v>0</v>
      </c>
      <c r="V831">
        <v>1</v>
      </c>
      <c r="W831" t="str">
        <f t="shared" si="165"/>
        <v/>
      </c>
    </row>
    <row r="832" spans="1:23" outlineLevel="2" x14ac:dyDescent="0.3">
      <c r="A832">
        <v>14.95</v>
      </c>
      <c r="I832">
        <f t="shared" si="168"/>
        <v>14.95</v>
      </c>
      <c r="J832" t="str">
        <f t="shared" si="169"/>
        <v/>
      </c>
      <c r="K832" t="e">
        <f t="shared" si="176"/>
        <v>#N/A</v>
      </c>
      <c r="L832" t="str">
        <f t="shared" si="170"/>
        <v/>
      </c>
      <c r="M832" t="str">
        <f t="shared" si="171"/>
        <v/>
      </c>
      <c r="N832" t="e">
        <f t="shared" si="177"/>
        <v>#N/A</v>
      </c>
      <c r="P832">
        <f t="shared" si="172"/>
        <v>1</v>
      </c>
      <c r="Q832" t="str">
        <f t="shared" ca="1" si="173"/>
        <v/>
      </c>
      <c r="R832" t="str">
        <f t="shared" ca="1" si="174"/>
        <v/>
      </c>
      <c r="T832">
        <f t="shared" si="175"/>
        <v>0</v>
      </c>
      <c r="V832">
        <v>1</v>
      </c>
      <c r="W832" t="str">
        <f t="shared" si="165"/>
        <v/>
      </c>
    </row>
    <row r="833" spans="1:23" outlineLevel="2" x14ac:dyDescent="0.3">
      <c r="A833">
        <v>11.16</v>
      </c>
      <c r="I833">
        <f t="shared" si="168"/>
        <v>11.16</v>
      </c>
      <c r="J833" t="str">
        <f t="shared" si="169"/>
        <v/>
      </c>
      <c r="K833" t="e">
        <f t="shared" si="176"/>
        <v>#N/A</v>
      </c>
      <c r="L833" t="str">
        <f t="shared" si="170"/>
        <v/>
      </c>
      <c r="M833" t="str">
        <f t="shared" si="171"/>
        <v/>
      </c>
      <c r="N833" t="e">
        <f t="shared" si="177"/>
        <v>#N/A</v>
      </c>
      <c r="P833">
        <f t="shared" si="172"/>
        <v>1</v>
      </c>
      <c r="Q833" t="str">
        <f t="shared" ca="1" si="173"/>
        <v/>
      </c>
      <c r="R833" t="str">
        <f t="shared" ca="1" si="174"/>
        <v/>
      </c>
      <c r="T833">
        <f t="shared" si="175"/>
        <v>0</v>
      </c>
      <c r="V833">
        <v>1</v>
      </c>
      <c r="W833" t="str">
        <f t="shared" si="165"/>
        <v/>
      </c>
    </row>
    <row r="834" spans="1:23" outlineLevel="2" x14ac:dyDescent="0.3">
      <c r="A834">
        <v>13.85</v>
      </c>
      <c r="I834">
        <f t="shared" si="168"/>
        <v>13.85</v>
      </c>
      <c r="J834" t="str">
        <f t="shared" si="169"/>
        <v/>
      </c>
      <c r="K834" t="e">
        <f t="shared" si="176"/>
        <v>#N/A</v>
      </c>
      <c r="L834" t="str">
        <f t="shared" si="170"/>
        <v/>
      </c>
      <c r="M834" t="str">
        <f t="shared" si="171"/>
        <v/>
      </c>
      <c r="N834" t="e">
        <f t="shared" si="177"/>
        <v>#N/A</v>
      </c>
      <c r="P834">
        <f t="shared" si="172"/>
        <v>1</v>
      </c>
      <c r="Q834" t="str">
        <f t="shared" ca="1" si="173"/>
        <v/>
      </c>
      <c r="R834" t="str">
        <f t="shared" ca="1" si="174"/>
        <v/>
      </c>
      <c r="T834">
        <f t="shared" si="175"/>
        <v>0</v>
      </c>
      <c r="V834">
        <v>1</v>
      </c>
      <c r="W834" t="str">
        <f t="shared" si="165"/>
        <v/>
      </c>
    </row>
    <row r="835" spans="1:23" outlineLevel="2" x14ac:dyDescent="0.3">
      <c r="A835">
        <v>15.1</v>
      </c>
      <c r="I835">
        <f t="shared" si="168"/>
        <v>15.1</v>
      </c>
      <c r="J835" t="str">
        <f t="shared" si="169"/>
        <v/>
      </c>
      <c r="K835" t="e">
        <f t="shared" si="176"/>
        <v>#N/A</v>
      </c>
      <c r="L835" t="str">
        <f t="shared" si="170"/>
        <v/>
      </c>
      <c r="M835" t="str">
        <f t="shared" si="171"/>
        <v/>
      </c>
      <c r="N835" t="e">
        <f t="shared" si="177"/>
        <v>#N/A</v>
      </c>
      <c r="P835">
        <f t="shared" si="172"/>
        <v>1</v>
      </c>
      <c r="Q835" t="str">
        <f t="shared" ca="1" si="173"/>
        <v/>
      </c>
      <c r="R835" t="str">
        <f t="shared" ca="1" si="174"/>
        <v/>
      </c>
      <c r="T835">
        <f t="shared" si="175"/>
        <v>0</v>
      </c>
      <c r="V835">
        <v>1</v>
      </c>
      <c r="W835" t="str">
        <f t="shared" ref="W835:W898" si="178">IF(AND(V835&gt;2,V835&lt;20),V835,"")</f>
        <v/>
      </c>
    </row>
    <row r="836" spans="1:23" outlineLevel="2" x14ac:dyDescent="0.3">
      <c r="A836">
        <v>13.67</v>
      </c>
      <c r="I836">
        <f t="shared" si="168"/>
        <v>13.67</v>
      </c>
      <c r="J836" t="str">
        <f>IF(AND(I837&gt;I836,I837&gt;I839,I837&gt;$D$5),I837,"")</f>
        <v/>
      </c>
      <c r="K836" t="e">
        <f t="shared" si="176"/>
        <v>#N/A</v>
      </c>
      <c r="L836" t="str">
        <f t="shared" si="170"/>
        <v/>
      </c>
      <c r="M836" t="str">
        <f>IF(AND(L837&lt;L836,L837&lt;L839,L837&lt;$G$5),L837,"")</f>
        <v/>
      </c>
      <c r="N836" t="e">
        <f t="shared" si="177"/>
        <v>#N/A</v>
      </c>
      <c r="P836">
        <f t="shared" si="172"/>
        <v>1</v>
      </c>
      <c r="Q836" t="str">
        <f t="shared" ca="1" si="173"/>
        <v/>
      </c>
      <c r="R836" t="str">
        <f t="shared" ca="1" si="174"/>
        <v/>
      </c>
      <c r="T836">
        <f t="shared" si="175"/>
        <v>0</v>
      </c>
      <c r="V836">
        <v>1</v>
      </c>
      <c r="W836" t="str">
        <f t="shared" si="178"/>
        <v/>
      </c>
    </row>
    <row r="837" spans="1:23" outlineLevel="2" x14ac:dyDescent="0.3">
      <c r="A837">
        <v>11.11</v>
      </c>
      <c r="I837">
        <f t="shared" si="168"/>
        <v>11.11</v>
      </c>
      <c r="J837" t="str">
        <f>IF(AND(I839&gt;I837,I839&gt;I840,I839&gt;$D$5),I839,"")</f>
        <v/>
      </c>
      <c r="K837" t="e">
        <f t="shared" si="176"/>
        <v>#N/A</v>
      </c>
      <c r="L837" t="str">
        <f t="shared" si="170"/>
        <v/>
      </c>
      <c r="M837" t="str">
        <f>IF(AND(L839&lt;L837,L839&lt;L840,L839&lt;$G$5),L839,"")</f>
        <v/>
      </c>
      <c r="N837" t="e">
        <f t="shared" si="177"/>
        <v>#N/A</v>
      </c>
      <c r="P837">
        <f t="shared" si="172"/>
        <v>1</v>
      </c>
      <c r="Q837">
        <f ca="1">IF(AND(A839&gt;=0,A837&lt;0),CELL("ROW",A839),IF(AND(A839&lt;0,A837&gt;=0),CELL("ROW",A839),""))</f>
        <v>839</v>
      </c>
      <c r="R837" t="str">
        <f t="shared" ca="1" si="174"/>
        <v>839</v>
      </c>
      <c r="T837">
        <f>S839-S837</f>
        <v>0</v>
      </c>
      <c r="V837">
        <v>1</v>
      </c>
      <c r="W837" t="str">
        <f t="shared" si="178"/>
        <v/>
      </c>
    </row>
    <row r="838" spans="1:23" outlineLevel="1" x14ac:dyDescent="0.3">
      <c r="O838" s="1" t="s">
        <v>26</v>
      </c>
      <c r="P838">
        <f>SUBTOTAL(3,P815:P837)</f>
        <v>23</v>
      </c>
      <c r="V838">
        <v>23</v>
      </c>
      <c r="W838" t="str">
        <f t="shared" si="178"/>
        <v/>
      </c>
    </row>
    <row r="839" spans="1:23" outlineLevel="2" x14ac:dyDescent="0.3">
      <c r="A839">
        <v>-12.14</v>
      </c>
      <c r="I839" t="str">
        <f t="shared" si="168"/>
        <v/>
      </c>
      <c r="J839" t="str">
        <f t="shared" si="169"/>
        <v/>
      </c>
      <c r="K839" t="e">
        <f t="shared" ref="K839:K864" si="179">MATCH(J839,$A$1:$A$10041,0)</f>
        <v>#N/A</v>
      </c>
      <c r="L839">
        <f t="shared" si="170"/>
        <v>-12.14</v>
      </c>
      <c r="M839" t="str">
        <f t="shared" si="171"/>
        <v/>
      </c>
      <c r="N839" t="e">
        <f t="shared" ref="N839:N864" si="180">MATCH(M839,$A$1:$A$10041,0)</f>
        <v>#N/A</v>
      </c>
      <c r="P839">
        <f t="shared" si="172"/>
        <v>2</v>
      </c>
      <c r="Q839" t="str">
        <f t="shared" ca="1" si="173"/>
        <v/>
      </c>
      <c r="R839" t="str">
        <f t="shared" ca="1" si="174"/>
        <v/>
      </c>
      <c r="T839">
        <f t="shared" si="175"/>
        <v>0</v>
      </c>
      <c r="V839">
        <v>2</v>
      </c>
      <c r="W839" t="str">
        <f t="shared" si="178"/>
        <v/>
      </c>
    </row>
    <row r="840" spans="1:23" outlineLevel="2" x14ac:dyDescent="0.3">
      <c r="A840">
        <v>-16.03</v>
      </c>
      <c r="I840" t="str">
        <f t="shared" si="168"/>
        <v/>
      </c>
      <c r="J840" t="str">
        <f t="shared" si="169"/>
        <v/>
      </c>
      <c r="K840" t="e">
        <f t="shared" si="179"/>
        <v>#N/A</v>
      </c>
      <c r="L840">
        <f t="shared" si="170"/>
        <v>-16.03</v>
      </c>
      <c r="M840" t="str">
        <f t="shared" si="171"/>
        <v/>
      </c>
      <c r="N840" t="e">
        <f t="shared" si="180"/>
        <v>#N/A</v>
      </c>
      <c r="P840">
        <f t="shared" si="172"/>
        <v>2</v>
      </c>
      <c r="Q840" t="str">
        <f t="shared" ca="1" si="173"/>
        <v/>
      </c>
      <c r="R840" t="str">
        <f t="shared" ca="1" si="174"/>
        <v/>
      </c>
      <c r="T840">
        <f t="shared" si="175"/>
        <v>0</v>
      </c>
      <c r="V840">
        <v>2</v>
      </c>
      <c r="W840" t="str">
        <f t="shared" si="178"/>
        <v/>
      </c>
    </row>
    <row r="841" spans="1:23" outlineLevel="2" x14ac:dyDescent="0.3">
      <c r="A841">
        <v>-18.3</v>
      </c>
      <c r="I841" t="str">
        <f t="shared" si="168"/>
        <v/>
      </c>
      <c r="J841" t="str">
        <f t="shared" si="169"/>
        <v/>
      </c>
      <c r="K841" t="e">
        <f t="shared" si="179"/>
        <v>#N/A</v>
      </c>
      <c r="L841">
        <f t="shared" si="170"/>
        <v>-18.3</v>
      </c>
      <c r="M841" t="str">
        <f t="shared" si="171"/>
        <v/>
      </c>
      <c r="N841" t="e">
        <f t="shared" si="180"/>
        <v>#N/A</v>
      </c>
      <c r="P841">
        <f t="shared" si="172"/>
        <v>2</v>
      </c>
      <c r="Q841" t="str">
        <f t="shared" ca="1" si="173"/>
        <v/>
      </c>
      <c r="R841" t="str">
        <f t="shared" ca="1" si="174"/>
        <v/>
      </c>
      <c r="T841">
        <f t="shared" si="175"/>
        <v>0</v>
      </c>
      <c r="V841">
        <v>2</v>
      </c>
      <c r="W841" t="str">
        <f t="shared" si="178"/>
        <v/>
      </c>
    </row>
    <row r="842" spans="1:23" outlineLevel="2" x14ac:dyDescent="0.3">
      <c r="A842">
        <v>-17.29</v>
      </c>
      <c r="I842" t="str">
        <f t="shared" si="168"/>
        <v/>
      </c>
      <c r="J842" t="str">
        <f t="shared" si="169"/>
        <v/>
      </c>
      <c r="K842" t="e">
        <f t="shared" si="179"/>
        <v>#N/A</v>
      </c>
      <c r="L842">
        <f t="shared" si="170"/>
        <v>-17.29</v>
      </c>
      <c r="M842" t="str">
        <f t="shared" si="171"/>
        <v/>
      </c>
      <c r="N842" t="e">
        <f t="shared" si="180"/>
        <v>#N/A</v>
      </c>
      <c r="P842">
        <f t="shared" si="172"/>
        <v>2</v>
      </c>
      <c r="Q842" t="str">
        <f t="shared" ca="1" si="173"/>
        <v/>
      </c>
      <c r="R842" t="str">
        <f t="shared" ca="1" si="174"/>
        <v/>
      </c>
      <c r="T842">
        <f t="shared" si="175"/>
        <v>0</v>
      </c>
      <c r="V842">
        <v>2</v>
      </c>
      <c r="W842" t="str">
        <f t="shared" si="178"/>
        <v/>
      </c>
    </row>
    <row r="843" spans="1:23" outlineLevel="2" x14ac:dyDescent="0.3">
      <c r="A843">
        <v>-14.5</v>
      </c>
      <c r="I843" t="str">
        <f t="shared" si="168"/>
        <v/>
      </c>
      <c r="J843" t="str">
        <f t="shared" si="169"/>
        <v/>
      </c>
      <c r="K843" t="e">
        <f t="shared" si="179"/>
        <v>#N/A</v>
      </c>
      <c r="L843">
        <f t="shared" si="170"/>
        <v>-14.5</v>
      </c>
      <c r="M843" t="str">
        <f t="shared" si="171"/>
        <v/>
      </c>
      <c r="N843" t="e">
        <f t="shared" si="180"/>
        <v>#N/A</v>
      </c>
      <c r="P843">
        <f t="shared" si="172"/>
        <v>2</v>
      </c>
      <c r="Q843" t="str">
        <f t="shared" ca="1" si="173"/>
        <v/>
      </c>
      <c r="R843" t="str">
        <f t="shared" ca="1" si="174"/>
        <v/>
      </c>
      <c r="T843">
        <f t="shared" si="175"/>
        <v>0</v>
      </c>
      <c r="V843">
        <v>2</v>
      </c>
      <c r="W843" t="str">
        <f t="shared" si="178"/>
        <v/>
      </c>
    </row>
    <row r="844" spans="1:23" outlineLevel="2" x14ac:dyDescent="0.3">
      <c r="A844">
        <v>-13.17</v>
      </c>
      <c r="I844" t="str">
        <f t="shared" si="168"/>
        <v/>
      </c>
      <c r="J844" t="str">
        <f t="shared" si="169"/>
        <v/>
      </c>
      <c r="K844" t="e">
        <f t="shared" si="179"/>
        <v>#N/A</v>
      </c>
      <c r="L844">
        <f t="shared" si="170"/>
        <v>-13.17</v>
      </c>
      <c r="M844" t="str">
        <f t="shared" si="171"/>
        <v/>
      </c>
      <c r="N844" t="e">
        <f t="shared" si="180"/>
        <v>#N/A</v>
      </c>
      <c r="P844">
        <f t="shared" si="172"/>
        <v>2</v>
      </c>
      <c r="Q844" t="str">
        <f t="shared" ca="1" si="173"/>
        <v/>
      </c>
      <c r="R844" t="str">
        <f t="shared" ca="1" si="174"/>
        <v/>
      </c>
      <c r="T844">
        <f t="shared" si="175"/>
        <v>0</v>
      </c>
      <c r="V844">
        <v>2</v>
      </c>
      <c r="W844" t="str">
        <f t="shared" si="178"/>
        <v/>
      </c>
    </row>
    <row r="845" spans="1:23" outlineLevel="2" x14ac:dyDescent="0.3">
      <c r="A845">
        <v>-13.58</v>
      </c>
      <c r="I845" t="str">
        <f t="shared" si="168"/>
        <v/>
      </c>
      <c r="J845" t="str">
        <f t="shared" si="169"/>
        <v/>
      </c>
      <c r="K845" t="e">
        <f t="shared" si="179"/>
        <v>#N/A</v>
      </c>
      <c r="L845">
        <f t="shared" si="170"/>
        <v>-13.58</v>
      </c>
      <c r="M845" t="str">
        <f t="shared" si="171"/>
        <v/>
      </c>
      <c r="N845" t="e">
        <f t="shared" si="180"/>
        <v>#N/A</v>
      </c>
      <c r="P845">
        <f t="shared" si="172"/>
        <v>2</v>
      </c>
      <c r="Q845" t="str">
        <f t="shared" ca="1" si="173"/>
        <v/>
      </c>
      <c r="R845" t="str">
        <f t="shared" ca="1" si="174"/>
        <v/>
      </c>
      <c r="T845">
        <f t="shared" si="175"/>
        <v>0</v>
      </c>
      <c r="V845">
        <v>2</v>
      </c>
      <c r="W845" t="str">
        <f t="shared" si="178"/>
        <v/>
      </c>
    </row>
    <row r="846" spans="1:23" outlineLevel="2" x14ac:dyDescent="0.3">
      <c r="A846">
        <v>-14.01</v>
      </c>
      <c r="I846" t="str">
        <f t="shared" si="168"/>
        <v/>
      </c>
      <c r="J846" t="str">
        <f t="shared" si="169"/>
        <v/>
      </c>
      <c r="K846" t="e">
        <f t="shared" si="179"/>
        <v>#N/A</v>
      </c>
      <c r="L846">
        <f t="shared" si="170"/>
        <v>-14.01</v>
      </c>
      <c r="M846" t="str">
        <f t="shared" si="171"/>
        <v/>
      </c>
      <c r="N846" t="e">
        <f t="shared" si="180"/>
        <v>#N/A</v>
      </c>
      <c r="P846">
        <f t="shared" si="172"/>
        <v>2</v>
      </c>
      <c r="Q846" t="str">
        <f t="shared" ca="1" si="173"/>
        <v/>
      </c>
      <c r="R846" t="str">
        <f t="shared" ca="1" si="174"/>
        <v/>
      </c>
      <c r="T846">
        <f t="shared" si="175"/>
        <v>0</v>
      </c>
      <c r="V846">
        <v>2</v>
      </c>
      <c r="W846" t="str">
        <f t="shared" si="178"/>
        <v/>
      </c>
    </row>
    <row r="847" spans="1:23" outlineLevel="2" x14ac:dyDescent="0.3">
      <c r="A847">
        <v>-13.75</v>
      </c>
      <c r="I847" t="str">
        <f t="shared" si="168"/>
        <v/>
      </c>
      <c r="J847" t="str">
        <f t="shared" si="169"/>
        <v/>
      </c>
      <c r="K847" t="e">
        <f t="shared" si="179"/>
        <v>#N/A</v>
      </c>
      <c r="L847">
        <f t="shared" si="170"/>
        <v>-13.75</v>
      </c>
      <c r="M847" t="str">
        <f t="shared" si="171"/>
        <v/>
      </c>
      <c r="N847" t="e">
        <f t="shared" si="180"/>
        <v>#N/A</v>
      </c>
      <c r="P847">
        <f t="shared" si="172"/>
        <v>2</v>
      </c>
      <c r="Q847" t="str">
        <f t="shared" ca="1" si="173"/>
        <v/>
      </c>
      <c r="R847" t="str">
        <f t="shared" ca="1" si="174"/>
        <v/>
      </c>
      <c r="T847">
        <f t="shared" si="175"/>
        <v>0</v>
      </c>
      <c r="V847">
        <v>2</v>
      </c>
      <c r="W847" t="str">
        <f t="shared" si="178"/>
        <v/>
      </c>
    </row>
    <row r="848" spans="1:23" outlineLevel="2" x14ac:dyDescent="0.3">
      <c r="A848">
        <v>-12.89</v>
      </c>
      <c r="I848" t="str">
        <f t="shared" si="168"/>
        <v/>
      </c>
      <c r="J848" t="str">
        <f t="shared" si="169"/>
        <v/>
      </c>
      <c r="K848" t="e">
        <f t="shared" si="179"/>
        <v>#N/A</v>
      </c>
      <c r="L848">
        <f t="shared" si="170"/>
        <v>-12.89</v>
      </c>
      <c r="M848" t="str">
        <f t="shared" si="171"/>
        <v/>
      </c>
      <c r="N848" t="e">
        <f t="shared" si="180"/>
        <v>#N/A</v>
      </c>
      <c r="P848">
        <f t="shared" si="172"/>
        <v>2</v>
      </c>
      <c r="Q848" t="str">
        <f t="shared" ca="1" si="173"/>
        <v/>
      </c>
      <c r="R848" t="str">
        <f t="shared" ca="1" si="174"/>
        <v/>
      </c>
      <c r="T848">
        <f t="shared" si="175"/>
        <v>0</v>
      </c>
      <c r="V848">
        <v>2</v>
      </c>
      <c r="W848" t="str">
        <f t="shared" si="178"/>
        <v/>
      </c>
    </row>
    <row r="849" spans="1:23" outlineLevel="2" x14ac:dyDescent="0.3">
      <c r="A849">
        <v>-12.2</v>
      </c>
      <c r="I849" t="str">
        <f t="shared" si="168"/>
        <v/>
      </c>
      <c r="J849" t="str">
        <f t="shared" si="169"/>
        <v/>
      </c>
      <c r="K849" t="e">
        <f t="shared" si="179"/>
        <v>#N/A</v>
      </c>
      <c r="L849">
        <f t="shared" si="170"/>
        <v>-12.2</v>
      </c>
      <c r="M849" t="str">
        <f t="shared" si="171"/>
        <v/>
      </c>
      <c r="N849" t="e">
        <f t="shared" si="180"/>
        <v>#N/A</v>
      </c>
      <c r="P849">
        <f t="shared" si="172"/>
        <v>2</v>
      </c>
      <c r="Q849" t="str">
        <f t="shared" ca="1" si="173"/>
        <v/>
      </c>
      <c r="R849" t="str">
        <f t="shared" ca="1" si="174"/>
        <v/>
      </c>
      <c r="T849">
        <f t="shared" si="175"/>
        <v>0</v>
      </c>
      <c r="V849">
        <v>2</v>
      </c>
      <c r="W849" t="str">
        <f t="shared" si="178"/>
        <v/>
      </c>
    </row>
    <row r="850" spans="1:23" outlineLevel="2" x14ac:dyDescent="0.3">
      <c r="A850">
        <v>-13.86</v>
      </c>
      <c r="I850" t="str">
        <f t="shared" si="168"/>
        <v/>
      </c>
      <c r="J850" t="str">
        <f t="shared" si="169"/>
        <v/>
      </c>
      <c r="K850" t="e">
        <f t="shared" si="179"/>
        <v>#N/A</v>
      </c>
      <c r="L850">
        <f t="shared" si="170"/>
        <v>-13.86</v>
      </c>
      <c r="M850" t="str">
        <f t="shared" si="171"/>
        <v/>
      </c>
      <c r="N850" t="e">
        <f t="shared" si="180"/>
        <v>#N/A</v>
      </c>
      <c r="P850">
        <f t="shared" si="172"/>
        <v>2</v>
      </c>
      <c r="Q850" t="str">
        <f t="shared" ca="1" si="173"/>
        <v/>
      </c>
      <c r="R850" t="str">
        <f t="shared" ca="1" si="174"/>
        <v/>
      </c>
      <c r="T850">
        <f t="shared" si="175"/>
        <v>0</v>
      </c>
      <c r="V850">
        <v>2</v>
      </c>
      <c r="W850" t="str">
        <f t="shared" si="178"/>
        <v/>
      </c>
    </row>
    <row r="851" spans="1:23" outlineLevel="2" x14ac:dyDescent="0.3">
      <c r="A851">
        <v>-17.68</v>
      </c>
      <c r="I851" t="str">
        <f t="shared" si="168"/>
        <v/>
      </c>
      <c r="J851" t="str">
        <f t="shared" si="169"/>
        <v/>
      </c>
      <c r="K851" t="e">
        <f t="shared" si="179"/>
        <v>#N/A</v>
      </c>
      <c r="L851">
        <f t="shared" si="170"/>
        <v>-17.68</v>
      </c>
      <c r="M851" t="str">
        <f t="shared" si="171"/>
        <v/>
      </c>
      <c r="N851" t="e">
        <f t="shared" si="180"/>
        <v>#N/A</v>
      </c>
      <c r="P851">
        <f t="shared" si="172"/>
        <v>2</v>
      </c>
      <c r="Q851" t="str">
        <f t="shared" ca="1" si="173"/>
        <v/>
      </c>
      <c r="R851" t="str">
        <f t="shared" ca="1" si="174"/>
        <v/>
      </c>
      <c r="T851">
        <f t="shared" si="175"/>
        <v>0</v>
      </c>
      <c r="V851">
        <v>2</v>
      </c>
      <c r="W851" t="str">
        <f t="shared" si="178"/>
        <v/>
      </c>
    </row>
    <row r="852" spans="1:23" outlineLevel="2" x14ac:dyDescent="0.3">
      <c r="A852">
        <v>-19.57</v>
      </c>
      <c r="I852" t="str">
        <f t="shared" si="168"/>
        <v/>
      </c>
      <c r="J852" t="str">
        <f t="shared" si="169"/>
        <v/>
      </c>
      <c r="K852" t="e">
        <f t="shared" si="179"/>
        <v>#N/A</v>
      </c>
      <c r="L852">
        <f t="shared" si="170"/>
        <v>-19.57</v>
      </c>
      <c r="M852" t="str">
        <f t="shared" si="171"/>
        <v/>
      </c>
      <c r="N852" t="e">
        <f t="shared" si="180"/>
        <v>#N/A</v>
      </c>
      <c r="P852">
        <f t="shared" si="172"/>
        <v>2</v>
      </c>
      <c r="Q852" t="str">
        <f t="shared" ca="1" si="173"/>
        <v/>
      </c>
      <c r="R852" t="str">
        <f t="shared" ca="1" si="174"/>
        <v/>
      </c>
      <c r="T852">
        <f t="shared" si="175"/>
        <v>0</v>
      </c>
      <c r="V852">
        <v>2</v>
      </c>
      <c r="W852" t="str">
        <f t="shared" si="178"/>
        <v/>
      </c>
    </row>
    <row r="853" spans="1:23" outlineLevel="2" x14ac:dyDescent="0.3">
      <c r="A853">
        <v>-16.420000000000002</v>
      </c>
      <c r="I853" t="str">
        <f t="shared" si="168"/>
        <v/>
      </c>
      <c r="J853" t="str">
        <f t="shared" si="169"/>
        <v/>
      </c>
      <c r="K853" t="e">
        <f t="shared" si="179"/>
        <v>#N/A</v>
      </c>
      <c r="L853">
        <f t="shared" si="170"/>
        <v>-16.420000000000002</v>
      </c>
      <c r="M853" t="str">
        <f t="shared" si="171"/>
        <v/>
      </c>
      <c r="N853" t="e">
        <f t="shared" si="180"/>
        <v>#N/A</v>
      </c>
      <c r="P853">
        <f t="shared" si="172"/>
        <v>2</v>
      </c>
      <c r="Q853" t="str">
        <f t="shared" ca="1" si="173"/>
        <v/>
      </c>
      <c r="R853" t="str">
        <f t="shared" ca="1" si="174"/>
        <v/>
      </c>
      <c r="T853">
        <f t="shared" si="175"/>
        <v>0</v>
      </c>
      <c r="V853">
        <v>2</v>
      </c>
      <c r="W853" t="str">
        <f t="shared" si="178"/>
        <v/>
      </c>
    </row>
    <row r="854" spans="1:23" outlineLevel="2" x14ac:dyDescent="0.3">
      <c r="A854">
        <v>-12.61</v>
      </c>
      <c r="I854" t="str">
        <f t="shared" si="168"/>
        <v/>
      </c>
      <c r="J854" t="str">
        <f t="shared" si="169"/>
        <v/>
      </c>
      <c r="K854" t="e">
        <f t="shared" si="179"/>
        <v>#N/A</v>
      </c>
      <c r="L854">
        <f t="shared" si="170"/>
        <v>-12.61</v>
      </c>
      <c r="M854" t="str">
        <f t="shared" si="171"/>
        <v/>
      </c>
      <c r="N854" t="e">
        <f t="shared" si="180"/>
        <v>#N/A</v>
      </c>
      <c r="P854">
        <f t="shared" si="172"/>
        <v>2</v>
      </c>
      <c r="Q854" t="str">
        <f t="shared" ca="1" si="173"/>
        <v/>
      </c>
      <c r="R854" t="str">
        <f t="shared" ca="1" si="174"/>
        <v/>
      </c>
      <c r="T854">
        <f t="shared" si="175"/>
        <v>0</v>
      </c>
      <c r="V854">
        <v>2</v>
      </c>
      <c r="W854" t="str">
        <f t="shared" si="178"/>
        <v/>
      </c>
    </row>
    <row r="855" spans="1:23" outlineLevel="2" x14ac:dyDescent="0.3">
      <c r="A855">
        <v>-15.03</v>
      </c>
      <c r="I855" t="str">
        <f t="shared" si="168"/>
        <v/>
      </c>
      <c r="J855" t="str">
        <f t="shared" si="169"/>
        <v/>
      </c>
      <c r="K855" t="e">
        <f t="shared" si="179"/>
        <v>#N/A</v>
      </c>
      <c r="L855">
        <f t="shared" si="170"/>
        <v>-15.03</v>
      </c>
      <c r="M855" t="str">
        <f t="shared" si="171"/>
        <v/>
      </c>
      <c r="N855" t="e">
        <f t="shared" si="180"/>
        <v>#N/A</v>
      </c>
      <c r="P855">
        <f t="shared" si="172"/>
        <v>2</v>
      </c>
      <c r="Q855" t="str">
        <f t="shared" ca="1" si="173"/>
        <v/>
      </c>
      <c r="R855" t="str">
        <f t="shared" ca="1" si="174"/>
        <v/>
      </c>
      <c r="T855">
        <f t="shared" si="175"/>
        <v>0</v>
      </c>
      <c r="V855">
        <v>2</v>
      </c>
      <c r="W855" t="str">
        <f t="shared" si="178"/>
        <v/>
      </c>
    </row>
    <row r="856" spans="1:23" outlineLevel="2" x14ac:dyDescent="0.3">
      <c r="A856">
        <v>-13.67</v>
      </c>
      <c r="I856" t="str">
        <f t="shared" si="168"/>
        <v/>
      </c>
      <c r="J856" t="str">
        <f t="shared" si="169"/>
        <v/>
      </c>
      <c r="K856" t="e">
        <f t="shared" si="179"/>
        <v>#N/A</v>
      </c>
      <c r="L856">
        <f t="shared" si="170"/>
        <v>-13.67</v>
      </c>
      <c r="M856" t="str">
        <f t="shared" si="171"/>
        <v/>
      </c>
      <c r="N856" t="e">
        <f t="shared" si="180"/>
        <v>#N/A</v>
      </c>
      <c r="P856">
        <f t="shared" si="172"/>
        <v>2</v>
      </c>
      <c r="Q856" t="str">
        <f t="shared" ca="1" si="173"/>
        <v/>
      </c>
      <c r="R856" t="str">
        <f t="shared" ca="1" si="174"/>
        <v/>
      </c>
      <c r="T856">
        <f t="shared" si="175"/>
        <v>0</v>
      </c>
      <c r="V856">
        <v>2</v>
      </c>
      <c r="W856" t="str">
        <f t="shared" si="178"/>
        <v/>
      </c>
    </row>
    <row r="857" spans="1:23" outlineLevel="2" x14ac:dyDescent="0.3">
      <c r="A857">
        <v>-12.4</v>
      </c>
      <c r="I857" t="str">
        <f t="shared" si="168"/>
        <v/>
      </c>
      <c r="J857" t="str">
        <f t="shared" si="169"/>
        <v/>
      </c>
      <c r="K857" t="e">
        <f t="shared" si="179"/>
        <v>#N/A</v>
      </c>
      <c r="L857">
        <f t="shared" si="170"/>
        <v>-12.4</v>
      </c>
      <c r="M857" t="str">
        <f t="shared" si="171"/>
        <v/>
      </c>
      <c r="N857" t="e">
        <f t="shared" si="180"/>
        <v>#N/A</v>
      </c>
      <c r="P857">
        <f t="shared" si="172"/>
        <v>2</v>
      </c>
      <c r="Q857" t="str">
        <f t="shared" ca="1" si="173"/>
        <v/>
      </c>
      <c r="R857" t="str">
        <f t="shared" ca="1" si="174"/>
        <v/>
      </c>
      <c r="T857">
        <f t="shared" si="175"/>
        <v>0</v>
      </c>
      <c r="V857">
        <v>2</v>
      </c>
      <c r="W857" t="str">
        <f t="shared" si="178"/>
        <v/>
      </c>
    </row>
    <row r="858" spans="1:23" outlineLevel="2" x14ac:dyDescent="0.3">
      <c r="A858">
        <v>-13.6</v>
      </c>
      <c r="I858" t="str">
        <f t="shared" si="168"/>
        <v/>
      </c>
      <c r="J858" t="str">
        <f t="shared" si="169"/>
        <v/>
      </c>
      <c r="K858" t="e">
        <f t="shared" si="179"/>
        <v>#N/A</v>
      </c>
      <c r="L858">
        <f t="shared" si="170"/>
        <v>-13.6</v>
      </c>
      <c r="M858" t="str">
        <f t="shared" si="171"/>
        <v/>
      </c>
      <c r="N858" t="e">
        <f t="shared" si="180"/>
        <v>#N/A</v>
      </c>
      <c r="P858">
        <f t="shared" si="172"/>
        <v>2</v>
      </c>
      <c r="Q858" t="str">
        <f t="shared" ca="1" si="173"/>
        <v/>
      </c>
      <c r="R858" t="str">
        <f t="shared" ca="1" si="174"/>
        <v/>
      </c>
      <c r="T858">
        <f t="shared" si="175"/>
        <v>0</v>
      </c>
      <c r="V858">
        <v>2</v>
      </c>
      <c r="W858" t="str">
        <f t="shared" si="178"/>
        <v/>
      </c>
    </row>
    <row r="859" spans="1:23" outlineLevel="2" x14ac:dyDescent="0.3">
      <c r="A859">
        <v>-12.96</v>
      </c>
      <c r="I859" t="str">
        <f t="shared" si="168"/>
        <v/>
      </c>
      <c r="J859" t="str">
        <f t="shared" si="169"/>
        <v/>
      </c>
      <c r="K859" t="e">
        <f t="shared" si="179"/>
        <v>#N/A</v>
      </c>
      <c r="L859">
        <f t="shared" si="170"/>
        <v>-12.96</v>
      </c>
      <c r="M859" t="str">
        <f t="shared" si="171"/>
        <v/>
      </c>
      <c r="N859" t="e">
        <f t="shared" si="180"/>
        <v>#N/A</v>
      </c>
      <c r="P859">
        <f t="shared" si="172"/>
        <v>2</v>
      </c>
      <c r="Q859" t="str">
        <f t="shared" ca="1" si="173"/>
        <v/>
      </c>
      <c r="R859" t="str">
        <f t="shared" ca="1" si="174"/>
        <v/>
      </c>
      <c r="T859">
        <f t="shared" si="175"/>
        <v>0</v>
      </c>
      <c r="V859">
        <v>2</v>
      </c>
      <c r="W859" t="str">
        <f t="shared" si="178"/>
        <v/>
      </c>
    </row>
    <row r="860" spans="1:23" outlineLevel="2" x14ac:dyDescent="0.3">
      <c r="A860">
        <v>-11.96</v>
      </c>
      <c r="I860" t="str">
        <f t="shared" si="168"/>
        <v/>
      </c>
      <c r="J860" t="str">
        <f t="shared" si="169"/>
        <v/>
      </c>
      <c r="K860" t="e">
        <f t="shared" si="179"/>
        <v>#N/A</v>
      </c>
      <c r="L860">
        <f t="shared" si="170"/>
        <v>-11.96</v>
      </c>
      <c r="M860" t="str">
        <f t="shared" si="171"/>
        <v/>
      </c>
      <c r="N860" t="e">
        <f t="shared" si="180"/>
        <v>#N/A</v>
      </c>
      <c r="P860">
        <f t="shared" si="172"/>
        <v>2</v>
      </c>
      <c r="Q860" t="str">
        <f t="shared" ca="1" si="173"/>
        <v/>
      </c>
      <c r="R860" t="str">
        <f t="shared" ca="1" si="174"/>
        <v/>
      </c>
      <c r="T860">
        <f t="shared" si="175"/>
        <v>0</v>
      </c>
      <c r="V860">
        <v>2</v>
      </c>
      <c r="W860" t="str">
        <f t="shared" si="178"/>
        <v/>
      </c>
    </row>
    <row r="861" spans="1:23" outlineLevel="2" x14ac:dyDescent="0.3">
      <c r="A861">
        <v>-11.75</v>
      </c>
      <c r="I861" t="str">
        <f t="shared" si="168"/>
        <v/>
      </c>
      <c r="J861" t="str">
        <f t="shared" si="169"/>
        <v/>
      </c>
      <c r="K861" t="e">
        <f t="shared" si="179"/>
        <v>#N/A</v>
      </c>
      <c r="L861">
        <f t="shared" si="170"/>
        <v>-11.75</v>
      </c>
      <c r="M861" t="str">
        <f t="shared" si="171"/>
        <v/>
      </c>
      <c r="N861" t="e">
        <f t="shared" si="180"/>
        <v>#N/A</v>
      </c>
      <c r="P861">
        <f t="shared" si="172"/>
        <v>2</v>
      </c>
      <c r="Q861" t="str">
        <f t="shared" ca="1" si="173"/>
        <v/>
      </c>
      <c r="R861" t="str">
        <f t="shared" ca="1" si="174"/>
        <v/>
      </c>
      <c r="T861">
        <f t="shared" si="175"/>
        <v>0</v>
      </c>
      <c r="V861">
        <v>2</v>
      </c>
      <c r="W861" t="str">
        <f t="shared" si="178"/>
        <v/>
      </c>
    </row>
    <row r="862" spans="1:23" outlineLevel="2" x14ac:dyDescent="0.3">
      <c r="A862">
        <v>-12.37</v>
      </c>
      <c r="I862" t="str">
        <f t="shared" si="168"/>
        <v/>
      </c>
      <c r="J862" t="str">
        <f t="shared" si="169"/>
        <v/>
      </c>
      <c r="K862" t="e">
        <f t="shared" si="179"/>
        <v>#N/A</v>
      </c>
      <c r="L862">
        <f t="shared" si="170"/>
        <v>-12.37</v>
      </c>
      <c r="M862" t="str">
        <f t="shared" si="171"/>
        <v/>
      </c>
      <c r="N862" t="e">
        <f t="shared" si="180"/>
        <v>#N/A</v>
      </c>
      <c r="P862">
        <f t="shared" si="172"/>
        <v>2</v>
      </c>
      <c r="Q862" t="str">
        <f t="shared" ca="1" si="173"/>
        <v/>
      </c>
      <c r="R862" t="str">
        <f t="shared" ca="1" si="174"/>
        <v/>
      </c>
      <c r="T862">
        <f t="shared" si="175"/>
        <v>0</v>
      </c>
      <c r="V862">
        <v>2</v>
      </c>
      <c r="W862" t="str">
        <f t="shared" si="178"/>
        <v/>
      </c>
    </row>
    <row r="863" spans="1:23" outlineLevel="2" x14ac:dyDescent="0.3">
      <c r="A863">
        <v>-13.4</v>
      </c>
      <c r="I863" t="str">
        <f t="shared" si="168"/>
        <v/>
      </c>
      <c r="J863" t="str">
        <f>IF(AND(I864&gt;I863,I864&gt;I866,I864&gt;$D$5),I864,"")</f>
        <v/>
      </c>
      <c r="K863" t="e">
        <f t="shared" si="179"/>
        <v>#N/A</v>
      </c>
      <c r="L863">
        <f t="shared" si="170"/>
        <v>-13.4</v>
      </c>
      <c r="M863" t="str">
        <f>IF(AND(L864&lt;L863,L864&lt;L866,L864&lt;$G$5),L864,"")</f>
        <v/>
      </c>
      <c r="N863" t="e">
        <f t="shared" si="180"/>
        <v>#N/A</v>
      </c>
      <c r="P863">
        <f t="shared" si="172"/>
        <v>2</v>
      </c>
      <c r="Q863" t="str">
        <f t="shared" ca="1" si="173"/>
        <v/>
      </c>
      <c r="R863" t="str">
        <f t="shared" ca="1" si="174"/>
        <v/>
      </c>
      <c r="T863">
        <f t="shared" si="175"/>
        <v>0</v>
      </c>
      <c r="V863">
        <v>2</v>
      </c>
      <c r="W863" t="str">
        <f t="shared" si="178"/>
        <v/>
      </c>
    </row>
    <row r="864" spans="1:23" outlineLevel="2" x14ac:dyDescent="0.3">
      <c r="A864">
        <v>-12.37</v>
      </c>
      <c r="I864" t="str">
        <f t="shared" ref="I864:I931" si="181">IF(A864&gt;0,A864,"")</f>
        <v/>
      </c>
      <c r="J864" t="str">
        <f>IF(AND(I866&gt;I864,I866&gt;I867,I866&gt;$D$5),I866,"")</f>
        <v/>
      </c>
      <c r="K864" t="e">
        <f t="shared" si="179"/>
        <v>#N/A</v>
      </c>
      <c r="L864">
        <f t="shared" ref="L864:L931" si="182">IF(A864&lt;0,A864,"")</f>
        <v>-12.37</v>
      </c>
      <c r="M864" t="str">
        <f>IF(AND(L866&lt;L864,L866&lt;L867,L866&lt;$G$5),L866,"")</f>
        <v/>
      </c>
      <c r="N864" t="e">
        <f t="shared" si="180"/>
        <v>#N/A</v>
      </c>
      <c r="P864">
        <f t="shared" ref="P864:P931" si="183">IF(A864&gt;0,1,2)</f>
        <v>2</v>
      </c>
      <c r="Q864">
        <f ca="1">IF(AND(A866&gt;=0,A864&lt;0),CELL("ROW",A866),IF(AND(A866&lt;0,A864&gt;=0),CELL("ROW",A866),""))</f>
        <v>866</v>
      </c>
      <c r="R864" t="str">
        <f t="shared" ref="R864:R931" ca="1" si="184">IF(ISNUMBER(K864),IF(INT(K864)=K864,K864,""),"")&amp;IF(ISNUMBER(N864),IF(INT(N864)=N864,N864,""),"")&amp;IF(ISNUMBER(Q864),IF(INT(Q864)=Q864,Q864,""),"")</f>
        <v>866</v>
      </c>
      <c r="T864">
        <f>S866-S864</f>
        <v>0</v>
      </c>
      <c r="V864">
        <v>2</v>
      </c>
      <c r="W864" t="str">
        <f t="shared" si="178"/>
        <v/>
      </c>
    </row>
    <row r="865" spans="1:23" outlineLevel="1" x14ac:dyDescent="0.3">
      <c r="O865" s="1" t="s">
        <v>27</v>
      </c>
      <c r="P865">
        <f>SUBTOTAL(3,P839:P864)</f>
        <v>26</v>
      </c>
      <c r="V865">
        <v>26</v>
      </c>
      <c r="W865" t="str">
        <f t="shared" si="178"/>
        <v/>
      </c>
    </row>
    <row r="866" spans="1:23" outlineLevel="2" x14ac:dyDescent="0.3">
      <c r="A866">
        <v>14.29</v>
      </c>
      <c r="I866">
        <f t="shared" si="181"/>
        <v>14.29</v>
      </c>
      <c r="J866" t="str">
        <f t="shared" ref="J866:J931" si="185">IF(AND(I867&gt;I866,I867&gt;I868,I867&gt;$D$5),I867,"")</f>
        <v/>
      </c>
      <c r="K866" t="e">
        <f t="shared" ref="K866:K875" si="186">MATCH(J866,$A$1:$A$10041,0)</f>
        <v>#N/A</v>
      </c>
      <c r="L866" t="str">
        <f t="shared" si="182"/>
        <v/>
      </c>
      <c r="M866" t="str">
        <f t="shared" ref="M866:M931" si="187">IF(AND(L867&lt;L866,L867&lt;L868,L867&lt;$G$5),L867,"")</f>
        <v/>
      </c>
      <c r="N866" t="e">
        <f t="shared" ref="N866:N875" si="188">MATCH(M866,$A$1:$A$10041,0)</f>
        <v>#N/A</v>
      </c>
      <c r="P866">
        <f t="shared" si="183"/>
        <v>1</v>
      </c>
      <c r="Q866" t="str">
        <f t="shared" ref="Q866:Q931" ca="1" si="189">IF(AND(A867&gt;=0,A866&lt;0),CELL("ROW",A867),IF(AND(A867&lt;0,A866&gt;=0),CELL("ROW",A867),""))</f>
        <v/>
      </c>
      <c r="R866" t="str">
        <f t="shared" ca="1" si="184"/>
        <v/>
      </c>
      <c r="T866">
        <f t="shared" ref="T866:T931" si="190">S867-S866</f>
        <v>0</v>
      </c>
      <c r="V866">
        <v>1</v>
      </c>
      <c r="W866" t="str">
        <f t="shared" si="178"/>
        <v/>
      </c>
    </row>
    <row r="867" spans="1:23" outlineLevel="2" x14ac:dyDescent="0.3">
      <c r="A867">
        <v>27.37</v>
      </c>
      <c r="I867">
        <f t="shared" si="181"/>
        <v>27.37</v>
      </c>
      <c r="J867" t="str">
        <f t="shared" si="185"/>
        <v/>
      </c>
      <c r="K867" t="e">
        <f t="shared" si="186"/>
        <v>#N/A</v>
      </c>
      <c r="L867" t="str">
        <f t="shared" si="182"/>
        <v/>
      </c>
      <c r="M867" t="str">
        <f t="shared" si="187"/>
        <v/>
      </c>
      <c r="N867" t="e">
        <f t="shared" si="188"/>
        <v>#N/A</v>
      </c>
      <c r="P867">
        <f t="shared" si="183"/>
        <v>1</v>
      </c>
      <c r="Q867" t="str">
        <f t="shared" ca="1" si="189"/>
        <v/>
      </c>
      <c r="R867" t="str">
        <f t="shared" ca="1" si="184"/>
        <v/>
      </c>
      <c r="T867">
        <f t="shared" si="190"/>
        <v>0</v>
      </c>
      <c r="V867">
        <v>1</v>
      </c>
      <c r="W867" t="str">
        <f t="shared" si="178"/>
        <v/>
      </c>
    </row>
    <row r="868" spans="1:23" outlineLevel="2" x14ac:dyDescent="0.3">
      <c r="A868">
        <v>56.59</v>
      </c>
      <c r="I868">
        <f t="shared" si="181"/>
        <v>56.59</v>
      </c>
      <c r="J868" t="str">
        <f t="shared" si="185"/>
        <v/>
      </c>
      <c r="K868" t="e">
        <f t="shared" si="186"/>
        <v>#N/A</v>
      </c>
      <c r="L868" t="str">
        <f t="shared" si="182"/>
        <v/>
      </c>
      <c r="M868" t="str">
        <f t="shared" si="187"/>
        <v/>
      </c>
      <c r="N868" t="e">
        <f t="shared" si="188"/>
        <v>#N/A</v>
      </c>
      <c r="P868">
        <f t="shared" si="183"/>
        <v>1</v>
      </c>
      <c r="Q868" t="str">
        <f t="shared" ca="1" si="189"/>
        <v/>
      </c>
      <c r="R868" t="str">
        <f t="shared" ca="1" si="184"/>
        <v/>
      </c>
      <c r="T868">
        <f t="shared" si="190"/>
        <v>0</v>
      </c>
      <c r="V868">
        <v>1</v>
      </c>
      <c r="W868" t="str">
        <f t="shared" si="178"/>
        <v/>
      </c>
    </row>
    <row r="869" spans="1:23" outlineLevel="2" x14ac:dyDescent="0.3">
      <c r="A869">
        <v>101.87</v>
      </c>
      <c r="I869">
        <f t="shared" si="181"/>
        <v>101.87</v>
      </c>
      <c r="J869" t="str">
        <f t="shared" si="185"/>
        <v/>
      </c>
      <c r="K869" t="e">
        <f t="shared" si="186"/>
        <v>#N/A</v>
      </c>
      <c r="L869" t="str">
        <f t="shared" si="182"/>
        <v/>
      </c>
      <c r="M869" t="str">
        <f t="shared" si="187"/>
        <v/>
      </c>
      <c r="N869" t="e">
        <f t="shared" si="188"/>
        <v>#N/A</v>
      </c>
      <c r="P869">
        <f t="shared" si="183"/>
        <v>1</v>
      </c>
      <c r="Q869" t="str">
        <f t="shared" ca="1" si="189"/>
        <v/>
      </c>
      <c r="R869" t="str">
        <f t="shared" ca="1" si="184"/>
        <v/>
      </c>
      <c r="T869">
        <f t="shared" si="190"/>
        <v>0</v>
      </c>
      <c r="V869">
        <v>1</v>
      </c>
      <c r="W869" t="str">
        <f t="shared" si="178"/>
        <v/>
      </c>
    </row>
    <row r="870" spans="1:23" outlineLevel="2" x14ac:dyDescent="0.3">
      <c r="A870">
        <v>152.07</v>
      </c>
      <c r="I870">
        <f t="shared" si="181"/>
        <v>152.07</v>
      </c>
      <c r="J870" t="str">
        <f t="shared" si="185"/>
        <v/>
      </c>
      <c r="K870" t="e">
        <f t="shared" si="186"/>
        <v>#N/A</v>
      </c>
      <c r="L870" t="str">
        <f t="shared" si="182"/>
        <v/>
      </c>
      <c r="M870" t="str">
        <f t="shared" si="187"/>
        <v/>
      </c>
      <c r="N870" t="e">
        <f t="shared" si="188"/>
        <v>#N/A</v>
      </c>
      <c r="P870">
        <f t="shared" si="183"/>
        <v>1</v>
      </c>
      <c r="Q870" t="str">
        <f t="shared" ca="1" si="189"/>
        <v/>
      </c>
      <c r="R870" t="str">
        <f t="shared" ca="1" si="184"/>
        <v/>
      </c>
      <c r="T870">
        <f t="shared" si="190"/>
        <v>0</v>
      </c>
      <c r="V870">
        <v>1</v>
      </c>
      <c r="W870" t="str">
        <f t="shared" si="178"/>
        <v/>
      </c>
    </row>
    <row r="871" spans="1:23" outlineLevel="2" x14ac:dyDescent="0.3">
      <c r="A871">
        <v>195.86</v>
      </c>
      <c r="I871">
        <f t="shared" si="181"/>
        <v>195.86</v>
      </c>
      <c r="J871">
        <f t="shared" si="185"/>
        <v>219.96</v>
      </c>
      <c r="K871">
        <f t="shared" si="186"/>
        <v>872</v>
      </c>
      <c r="L871" t="str">
        <f t="shared" si="182"/>
        <v/>
      </c>
      <c r="M871" t="str">
        <f t="shared" si="187"/>
        <v/>
      </c>
      <c r="N871" t="e">
        <f t="shared" si="188"/>
        <v>#N/A</v>
      </c>
      <c r="P871">
        <f t="shared" si="183"/>
        <v>1</v>
      </c>
      <c r="Q871" t="str">
        <f t="shared" ca="1" si="189"/>
        <v/>
      </c>
      <c r="R871" t="str">
        <f t="shared" ca="1" si="184"/>
        <v>872</v>
      </c>
      <c r="T871">
        <f t="shared" si="190"/>
        <v>0</v>
      </c>
      <c r="V871">
        <v>1</v>
      </c>
      <c r="W871" t="str">
        <f t="shared" si="178"/>
        <v/>
      </c>
    </row>
    <row r="872" spans="1:23" outlineLevel="2" x14ac:dyDescent="0.3">
      <c r="A872">
        <v>219.96</v>
      </c>
      <c r="I872">
        <f t="shared" si="181"/>
        <v>219.96</v>
      </c>
      <c r="J872" t="str">
        <f t="shared" si="185"/>
        <v/>
      </c>
      <c r="K872" t="e">
        <f t="shared" si="186"/>
        <v>#N/A</v>
      </c>
      <c r="L872" t="str">
        <f t="shared" si="182"/>
        <v/>
      </c>
      <c r="M872" t="str">
        <f t="shared" si="187"/>
        <v/>
      </c>
      <c r="N872" t="e">
        <f t="shared" si="188"/>
        <v>#N/A</v>
      </c>
      <c r="P872">
        <f t="shared" si="183"/>
        <v>1</v>
      </c>
      <c r="Q872" t="str">
        <f t="shared" ca="1" si="189"/>
        <v/>
      </c>
      <c r="R872" t="str">
        <f t="shared" ca="1" si="184"/>
        <v/>
      </c>
      <c r="T872">
        <f t="shared" si="190"/>
        <v>0</v>
      </c>
      <c r="V872">
        <v>1</v>
      </c>
      <c r="W872" t="str">
        <f t="shared" si="178"/>
        <v/>
      </c>
    </row>
    <row r="873" spans="1:23" outlineLevel="2" x14ac:dyDescent="0.3">
      <c r="A873">
        <v>208.48</v>
      </c>
      <c r="I873">
        <f t="shared" si="181"/>
        <v>208.48</v>
      </c>
      <c r="J873" t="str">
        <f t="shared" si="185"/>
        <v/>
      </c>
      <c r="K873" t="e">
        <f t="shared" si="186"/>
        <v>#N/A</v>
      </c>
      <c r="L873" t="str">
        <f t="shared" si="182"/>
        <v/>
      </c>
      <c r="M873" t="str">
        <f t="shared" si="187"/>
        <v/>
      </c>
      <c r="N873" t="e">
        <f t="shared" si="188"/>
        <v>#N/A</v>
      </c>
      <c r="P873">
        <f t="shared" si="183"/>
        <v>1</v>
      </c>
      <c r="Q873" t="str">
        <f t="shared" ca="1" si="189"/>
        <v/>
      </c>
      <c r="R873" t="str">
        <f t="shared" ca="1" si="184"/>
        <v/>
      </c>
      <c r="T873">
        <f t="shared" si="190"/>
        <v>0</v>
      </c>
      <c r="V873">
        <v>1</v>
      </c>
      <c r="W873" t="str">
        <f t="shared" si="178"/>
        <v/>
      </c>
    </row>
    <row r="874" spans="1:23" outlineLevel="2" x14ac:dyDescent="0.3">
      <c r="A874">
        <v>155.63999999999999</v>
      </c>
      <c r="I874">
        <f t="shared" si="181"/>
        <v>155.63999999999999</v>
      </c>
      <c r="J874" t="str">
        <f>IF(AND(I875&gt;I874,I875&gt;I877,I875&gt;$D$5),I875,"")</f>
        <v/>
      </c>
      <c r="K874" t="e">
        <f t="shared" si="186"/>
        <v>#N/A</v>
      </c>
      <c r="L874" t="str">
        <f t="shared" si="182"/>
        <v/>
      </c>
      <c r="M874" t="str">
        <f>IF(AND(L875&lt;L874,L875&lt;L877,L875&lt;$G$5),L875,"")</f>
        <v/>
      </c>
      <c r="N874" t="e">
        <f t="shared" si="188"/>
        <v>#N/A</v>
      </c>
      <c r="P874">
        <f t="shared" si="183"/>
        <v>1</v>
      </c>
      <c r="Q874" t="str">
        <f t="shared" ca="1" si="189"/>
        <v/>
      </c>
      <c r="R874" t="str">
        <f t="shared" ca="1" si="184"/>
        <v/>
      </c>
      <c r="T874">
        <f t="shared" si="190"/>
        <v>0</v>
      </c>
      <c r="V874">
        <v>1</v>
      </c>
      <c r="W874" t="str">
        <f t="shared" si="178"/>
        <v/>
      </c>
    </row>
    <row r="875" spans="1:23" outlineLevel="2" x14ac:dyDescent="0.3">
      <c r="A875">
        <v>73.05</v>
      </c>
      <c r="I875">
        <f t="shared" si="181"/>
        <v>73.05</v>
      </c>
      <c r="J875" t="str">
        <f>IF(AND(I877&gt;I875,I877&gt;I878,I877&gt;$D$5),I877,"")</f>
        <v/>
      </c>
      <c r="K875" t="e">
        <f t="shared" si="186"/>
        <v>#N/A</v>
      </c>
      <c r="L875" t="str">
        <f t="shared" si="182"/>
        <v/>
      </c>
      <c r="M875" t="str">
        <f>IF(AND(L877&lt;L875,L877&lt;L878,L877&lt;$G$5),L877,"")</f>
        <v/>
      </c>
      <c r="N875" t="e">
        <f t="shared" si="188"/>
        <v>#N/A</v>
      </c>
      <c r="P875">
        <f t="shared" si="183"/>
        <v>1</v>
      </c>
      <c r="Q875">
        <f ca="1">IF(AND(A877&gt;=0,A875&lt;0),CELL("ROW",A877),IF(AND(A877&lt;0,A875&gt;=0),CELL("ROW",A877),""))</f>
        <v>877</v>
      </c>
      <c r="R875" t="str">
        <f t="shared" ca="1" si="184"/>
        <v>877</v>
      </c>
      <c r="T875">
        <f>S877-S875</f>
        <v>0</v>
      </c>
      <c r="V875">
        <v>1</v>
      </c>
      <c r="W875" t="str">
        <f t="shared" si="178"/>
        <v/>
      </c>
    </row>
    <row r="876" spans="1:23" outlineLevel="1" x14ac:dyDescent="0.3">
      <c r="O876" s="1" t="s">
        <v>26</v>
      </c>
      <c r="P876">
        <f>SUBTOTAL(3,P866:P875)</f>
        <v>10</v>
      </c>
      <c r="V876">
        <v>10</v>
      </c>
      <c r="W876">
        <f t="shared" si="178"/>
        <v>10</v>
      </c>
    </row>
    <row r="877" spans="1:23" outlineLevel="2" x14ac:dyDescent="0.3">
      <c r="A877">
        <v>-18.010000000000002</v>
      </c>
      <c r="I877" t="str">
        <f t="shared" si="181"/>
        <v/>
      </c>
      <c r="J877" t="str">
        <f t="shared" si="185"/>
        <v/>
      </c>
      <c r="K877" t="e">
        <f t="shared" ref="K877:K891" si="191">MATCH(J877,$A$1:$A$10041,0)</f>
        <v>#N/A</v>
      </c>
      <c r="L877">
        <f t="shared" si="182"/>
        <v>-18.010000000000002</v>
      </c>
      <c r="M877" t="str">
        <f t="shared" si="187"/>
        <v/>
      </c>
      <c r="N877" t="e">
        <f t="shared" ref="N877:N891" si="192">MATCH(M877,$A$1:$A$10041,0)</f>
        <v>#N/A</v>
      </c>
      <c r="P877">
        <f t="shared" si="183"/>
        <v>2</v>
      </c>
      <c r="Q877" t="str">
        <f t="shared" ca="1" si="189"/>
        <v/>
      </c>
      <c r="R877" t="str">
        <f t="shared" ca="1" si="184"/>
        <v/>
      </c>
      <c r="T877">
        <f t="shared" si="190"/>
        <v>0</v>
      </c>
      <c r="V877">
        <v>2</v>
      </c>
      <c r="W877" t="str">
        <f t="shared" si="178"/>
        <v/>
      </c>
    </row>
    <row r="878" spans="1:23" outlineLevel="2" x14ac:dyDescent="0.3">
      <c r="A878">
        <v>-97.8</v>
      </c>
      <c r="I878" t="str">
        <f t="shared" si="181"/>
        <v/>
      </c>
      <c r="J878" t="str">
        <f t="shared" si="185"/>
        <v/>
      </c>
      <c r="K878" t="e">
        <f t="shared" si="191"/>
        <v>#N/A</v>
      </c>
      <c r="L878">
        <f t="shared" si="182"/>
        <v>-97.8</v>
      </c>
      <c r="M878" t="str">
        <f t="shared" si="187"/>
        <v/>
      </c>
      <c r="N878" t="e">
        <f t="shared" si="192"/>
        <v>#N/A</v>
      </c>
      <c r="P878">
        <f t="shared" si="183"/>
        <v>2</v>
      </c>
      <c r="Q878" t="str">
        <f t="shared" ca="1" si="189"/>
        <v/>
      </c>
      <c r="R878" t="str">
        <f t="shared" ca="1" si="184"/>
        <v/>
      </c>
      <c r="T878">
        <f t="shared" si="190"/>
        <v>0</v>
      </c>
      <c r="V878">
        <v>2</v>
      </c>
      <c r="W878" t="str">
        <f t="shared" si="178"/>
        <v/>
      </c>
    </row>
    <row r="879" spans="1:23" outlineLevel="2" x14ac:dyDescent="0.3">
      <c r="A879">
        <v>-157.97999999999999</v>
      </c>
      <c r="I879" t="str">
        <f t="shared" si="181"/>
        <v/>
      </c>
      <c r="J879" t="str">
        <f t="shared" si="185"/>
        <v/>
      </c>
      <c r="K879" t="e">
        <f t="shared" si="191"/>
        <v>#N/A</v>
      </c>
      <c r="L879">
        <f t="shared" si="182"/>
        <v>-157.97999999999999</v>
      </c>
      <c r="M879" t="str">
        <f t="shared" si="187"/>
        <v/>
      </c>
      <c r="N879" t="e">
        <f t="shared" si="192"/>
        <v>#N/A</v>
      </c>
      <c r="P879">
        <f t="shared" si="183"/>
        <v>2</v>
      </c>
      <c r="Q879" t="str">
        <f t="shared" ca="1" si="189"/>
        <v/>
      </c>
      <c r="R879" t="str">
        <f t="shared" ca="1" si="184"/>
        <v/>
      </c>
      <c r="T879">
        <f t="shared" si="190"/>
        <v>0</v>
      </c>
      <c r="V879">
        <v>2</v>
      </c>
      <c r="W879" t="str">
        <f t="shared" si="178"/>
        <v/>
      </c>
    </row>
    <row r="880" spans="1:23" outlineLevel="2" x14ac:dyDescent="0.3">
      <c r="A880">
        <v>-199.47</v>
      </c>
      <c r="I880" t="str">
        <f t="shared" si="181"/>
        <v/>
      </c>
      <c r="J880" t="str">
        <f t="shared" si="185"/>
        <v/>
      </c>
      <c r="K880" t="e">
        <f t="shared" si="191"/>
        <v>#N/A</v>
      </c>
      <c r="L880">
        <f t="shared" si="182"/>
        <v>-199.47</v>
      </c>
      <c r="M880" t="str">
        <f t="shared" si="187"/>
        <v/>
      </c>
      <c r="N880" t="e">
        <f t="shared" si="192"/>
        <v>#N/A</v>
      </c>
      <c r="P880">
        <f t="shared" si="183"/>
        <v>2</v>
      </c>
      <c r="Q880" t="str">
        <f t="shared" ca="1" si="189"/>
        <v/>
      </c>
      <c r="R880" t="str">
        <f t="shared" ca="1" si="184"/>
        <v/>
      </c>
      <c r="T880">
        <f t="shared" si="190"/>
        <v>0</v>
      </c>
      <c r="V880">
        <v>2</v>
      </c>
      <c r="W880" t="str">
        <f t="shared" si="178"/>
        <v/>
      </c>
    </row>
    <row r="881" spans="1:23" outlineLevel="2" x14ac:dyDescent="0.3">
      <c r="A881">
        <v>-223.19</v>
      </c>
      <c r="I881" t="str">
        <f t="shared" si="181"/>
        <v/>
      </c>
      <c r="J881" t="str">
        <f t="shared" si="185"/>
        <v/>
      </c>
      <c r="K881" t="e">
        <f t="shared" si="191"/>
        <v>#N/A</v>
      </c>
      <c r="L881">
        <f t="shared" si="182"/>
        <v>-223.19</v>
      </c>
      <c r="M881">
        <f t="shared" si="187"/>
        <v>-228.91</v>
      </c>
      <c r="N881">
        <f t="shared" si="192"/>
        <v>882</v>
      </c>
      <c r="P881">
        <f t="shared" si="183"/>
        <v>2</v>
      </c>
      <c r="Q881" t="str">
        <f t="shared" ca="1" si="189"/>
        <v/>
      </c>
      <c r="R881" t="str">
        <f t="shared" ca="1" si="184"/>
        <v>882</v>
      </c>
      <c r="T881">
        <f t="shared" si="190"/>
        <v>0</v>
      </c>
      <c r="V881">
        <v>2</v>
      </c>
      <c r="W881" t="str">
        <f t="shared" si="178"/>
        <v/>
      </c>
    </row>
    <row r="882" spans="1:23" outlineLevel="2" x14ac:dyDescent="0.3">
      <c r="A882">
        <v>-228.91</v>
      </c>
      <c r="I882" t="str">
        <f t="shared" si="181"/>
        <v/>
      </c>
      <c r="J882" t="str">
        <f t="shared" si="185"/>
        <v/>
      </c>
      <c r="K882" t="e">
        <f t="shared" si="191"/>
        <v>#N/A</v>
      </c>
      <c r="L882">
        <f t="shared" si="182"/>
        <v>-228.91</v>
      </c>
      <c r="M882" t="str">
        <f t="shared" si="187"/>
        <v/>
      </c>
      <c r="N882" t="e">
        <f t="shared" si="192"/>
        <v>#N/A</v>
      </c>
      <c r="P882">
        <f t="shared" si="183"/>
        <v>2</v>
      </c>
      <c r="Q882" t="str">
        <f t="shared" ca="1" si="189"/>
        <v/>
      </c>
      <c r="R882" t="str">
        <f t="shared" ca="1" si="184"/>
        <v/>
      </c>
      <c r="T882">
        <f t="shared" si="190"/>
        <v>0</v>
      </c>
      <c r="V882">
        <v>2</v>
      </c>
      <c r="W882" t="str">
        <f t="shared" si="178"/>
        <v/>
      </c>
    </row>
    <row r="883" spans="1:23" outlineLevel="2" x14ac:dyDescent="0.3">
      <c r="A883">
        <v>-219.53</v>
      </c>
      <c r="I883" t="str">
        <f t="shared" si="181"/>
        <v/>
      </c>
      <c r="J883" t="str">
        <f t="shared" si="185"/>
        <v/>
      </c>
      <c r="K883" t="e">
        <f t="shared" si="191"/>
        <v>#N/A</v>
      </c>
      <c r="L883">
        <f t="shared" si="182"/>
        <v>-219.53</v>
      </c>
      <c r="M883" t="str">
        <f t="shared" si="187"/>
        <v/>
      </c>
      <c r="N883" t="e">
        <f t="shared" si="192"/>
        <v>#N/A</v>
      </c>
      <c r="P883">
        <f t="shared" si="183"/>
        <v>2</v>
      </c>
      <c r="Q883" t="str">
        <f t="shared" ca="1" si="189"/>
        <v/>
      </c>
      <c r="R883" t="str">
        <f t="shared" ca="1" si="184"/>
        <v/>
      </c>
      <c r="T883">
        <f t="shared" si="190"/>
        <v>0</v>
      </c>
      <c r="V883">
        <v>2</v>
      </c>
      <c r="W883" t="str">
        <f t="shared" si="178"/>
        <v/>
      </c>
    </row>
    <row r="884" spans="1:23" outlineLevel="2" x14ac:dyDescent="0.3">
      <c r="A884">
        <v>-199.3</v>
      </c>
      <c r="I884" t="str">
        <f t="shared" si="181"/>
        <v/>
      </c>
      <c r="J884" t="str">
        <f t="shared" si="185"/>
        <v/>
      </c>
      <c r="K884" t="e">
        <f t="shared" si="191"/>
        <v>#N/A</v>
      </c>
      <c r="L884">
        <f t="shared" si="182"/>
        <v>-199.3</v>
      </c>
      <c r="M884" t="str">
        <f t="shared" si="187"/>
        <v/>
      </c>
      <c r="N884" t="e">
        <f t="shared" si="192"/>
        <v>#N/A</v>
      </c>
      <c r="P884">
        <f t="shared" si="183"/>
        <v>2</v>
      </c>
      <c r="Q884" t="str">
        <f t="shared" ca="1" si="189"/>
        <v/>
      </c>
      <c r="R884" t="str">
        <f t="shared" ca="1" si="184"/>
        <v/>
      </c>
      <c r="T884">
        <f t="shared" si="190"/>
        <v>0</v>
      </c>
      <c r="V884">
        <v>2</v>
      </c>
      <c r="W884" t="str">
        <f t="shared" si="178"/>
        <v/>
      </c>
    </row>
    <row r="885" spans="1:23" outlineLevel="2" x14ac:dyDescent="0.3">
      <c r="A885">
        <v>-172.69</v>
      </c>
      <c r="I885" t="str">
        <f t="shared" si="181"/>
        <v/>
      </c>
      <c r="J885" t="str">
        <f t="shared" si="185"/>
        <v/>
      </c>
      <c r="K885" t="e">
        <f t="shared" si="191"/>
        <v>#N/A</v>
      </c>
      <c r="L885">
        <f t="shared" si="182"/>
        <v>-172.69</v>
      </c>
      <c r="M885" t="str">
        <f t="shared" si="187"/>
        <v/>
      </c>
      <c r="N885" t="e">
        <f t="shared" si="192"/>
        <v>#N/A</v>
      </c>
      <c r="P885">
        <f t="shared" si="183"/>
        <v>2</v>
      </c>
      <c r="Q885" t="str">
        <f t="shared" ca="1" si="189"/>
        <v/>
      </c>
      <c r="R885" t="str">
        <f t="shared" ca="1" si="184"/>
        <v/>
      </c>
      <c r="T885">
        <f t="shared" si="190"/>
        <v>0</v>
      </c>
      <c r="V885">
        <v>2</v>
      </c>
      <c r="W885" t="str">
        <f t="shared" si="178"/>
        <v/>
      </c>
    </row>
    <row r="886" spans="1:23" outlineLevel="2" x14ac:dyDescent="0.3">
      <c r="A886">
        <v>-145.22</v>
      </c>
      <c r="I886" t="str">
        <f t="shared" si="181"/>
        <v/>
      </c>
      <c r="J886" t="str">
        <f t="shared" si="185"/>
        <v/>
      </c>
      <c r="K886" t="e">
        <f t="shared" si="191"/>
        <v>#N/A</v>
      </c>
      <c r="L886">
        <f t="shared" si="182"/>
        <v>-145.22</v>
      </c>
      <c r="M886" t="str">
        <f t="shared" si="187"/>
        <v/>
      </c>
      <c r="N886" t="e">
        <f t="shared" si="192"/>
        <v>#N/A</v>
      </c>
      <c r="P886">
        <f t="shared" si="183"/>
        <v>2</v>
      </c>
      <c r="Q886" t="str">
        <f t="shared" ca="1" si="189"/>
        <v/>
      </c>
      <c r="R886" t="str">
        <f t="shared" ca="1" si="184"/>
        <v/>
      </c>
      <c r="T886">
        <f t="shared" si="190"/>
        <v>0</v>
      </c>
      <c r="V886">
        <v>2</v>
      </c>
      <c r="W886" t="str">
        <f t="shared" si="178"/>
        <v/>
      </c>
    </row>
    <row r="887" spans="1:23" outlineLevel="2" x14ac:dyDescent="0.3">
      <c r="A887">
        <v>-119.81</v>
      </c>
      <c r="I887" t="str">
        <f t="shared" si="181"/>
        <v/>
      </c>
      <c r="J887" t="str">
        <f t="shared" si="185"/>
        <v/>
      </c>
      <c r="K887" t="e">
        <f t="shared" si="191"/>
        <v>#N/A</v>
      </c>
      <c r="L887">
        <f t="shared" si="182"/>
        <v>-119.81</v>
      </c>
      <c r="M887" t="str">
        <f t="shared" si="187"/>
        <v/>
      </c>
      <c r="N887" t="e">
        <f t="shared" si="192"/>
        <v>#N/A</v>
      </c>
      <c r="P887">
        <f t="shared" si="183"/>
        <v>2</v>
      </c>
      <c r="Q887" t="str">
        <f t="shared" ca="1" si="189"/>
        <v/>
      </c>
      <c r="R887" t="str">
        <f t="shared" ca="1" si="184"/>
        <v/>
      </c>
      <c r="T887">
        <f t="shared" si="190"/>
        <v>0</v>
      </c>
      <c r="V887">
        <v>2</v>
      </c>
      <c r="W887" t="str">
        <f t="shared" si="178"/>
        <v/>
      </c>
    </row>
    <row r="888" spans="1:23" outlineLevel="2" x14ac:dyDescent="0.3">
      <c r="A888">
        <v>-94.4</v>
      </c>
      <c r="I888" t="str">
        <f t="shared" si="181"/>
        <v/>
      </c>
      <c r="J888" t="str">
        <f t="shared" si="185"/>
        <v/>
      </c>
      <c r="K888" t="e">
        <f t="shared" si="191"/>
        <v>#N/A</v>
      </c>
      <c r="L888">
        <f t="shared" si="182"/>
        <v>-94.4</v>
      </c>
      <c r="M888" t="str">
        <f t="shared" si="187"/>
        <v/>
      </c>
      <c r="N888" t="e">
        <f t="shared" si="192"/>
        <v>#N/A</v>
      </c>
      <c r="P888">
        <f t="shared" si="183"/>
        <v>2</v>
      </c>
      <c r="Q888" t="str">
        <f t="shared" ca="1" si="189"/>
        <v/>
      </c>
      <c r="R888" t="str">
        <f t="shared" ca="1" si="184"/>
        <v/>
      </c>
      <c r="T888">
        <f t="shared" si="190"/>
        <v>0</v>
      </c>
      <c r="V888">
        <v>2</v>
      </c>
      <c r="W888" t="str">
        <f t="shared" si="178"/>
        <v/>
      </c>
    </row>
    <row r="889" spans="1:23" outlineLevel="2" x14ac:dyDescent="0.3">
      <c r="A889">
        <v>-67.45</v>
      </c>
      <c r="I889" t="str">
        <f t="shared" si="181"/>
        <v/>
      </c>
      <c r="J889" t="str">
        <f t="shared" si="185"/>
        <v/>
      </c>
      <c r="K889" t="e">
        <f t="shared" si="191"/>
        <v>#N/A</v>
      </c>
      <c r="L889">
        <f t="shared" si="182"/>
        <v>-67.45</v>
      </c>
      <c r="M889" t="str">
        <f t="shared" si="187"/>
        <v/>
      </c>
      <c r="N889" t="e">
        <f t="shared" si="192"/>
        <v>#N/A</v>
      </c>
      <c r="P889">
        <f t="shared" si="183"/>
        <v>2</v>
      </c>
      <c r="Q889" t="str">
        <f t="shared" ca="1" si="189"/>
        <v/>
      </c>
      <c r="R889" t="str">
        <f t="shared" ca="1" si="184"/>
        <v/>
      </c>
      <c r="T889">
        <f t="shared" si="190"/>
        <v>0</v>
      </c>
      <c r="V889">
        <v>2</v>
      </c>
      <c r="W889" t="str">
        <f t="shared" si="178"/>
        <v/>
      </c>
    </row>
    <row r="890" spans="1:23" outlineLevel="2" x14ac:dyDescent="0.3">
      <c r="A890">
        <v>-41.24</v>
      </c>
      <c r="I890" t="str">
        <f t="shared" si="181"/>
        <v/>
      </c>
      <c r="J890" t="str">
        <f>IF(AND(I891&gt;I890,I891&gt;I893,I891&gt;$D$5),I891,"")</f>
        <v/>
      </c>
      <c r="K890" t="e">
        <f t="shared" si="191"/>
        <v>#N/A</v>
      </c>
      <c r="L890">
        <f t="shared" si="182"/>
        <v>-41.24</v>
      </c>
      <c r="M890" t="str">
        <f>IF(AND(L891&lt;L890,L891&lt;L893,L891&lt;$G$5),L891,"")</f>
        <v/>
      </c>
      <c r="N890" t="e">
        <f t="shared" si="192"/>
        <v>#N/A</v>
      </c>
      <c r="P890">
        <f t="shared" si="183"/>
        <v>2</v>
      </c>
      <c r="Q890" t="str">
        <f t="shared" ca="1" si="189"/>
        <v/>
      </c>
      <c r="R890" t="str">
        <f t="shared" ca="1" si="184"/>
        <v/>
      </c>
      <c r="T890">
        <f t="shared" si="190"/>
        <v>0</v>
      </c>
      <c r="V890">
        <v>2</v>
      </c>
      <c r="W890" t="str">
        <f t="shared" si="178"/>
        <v/>
      </c>
    </row>
    <row r="891" spans="1:23" outlineLevel="2" x14ac:dyDescent="0.3">
      <c r="A891">
        <v>-19.39</v>
      </c>
      <c r="I891" t="str">
        <f t="shared" si="181"/>
        <v/>
      </c>
      <c r="J891" t="str">
        <f>IF(AND(I893&gt;I891,I893&gt;I894,I893&gt;$D$5),I893,"")</f>
        <v/>
      </c>
      <c r="K891" t="e">
        <f t="shared" si="191"/>
        <v>#N/A</v>
      </c>
      <c r="L891">
        <f t="shared" si="182"/>
        <v>-19.39</v>
      </c>
      <c r="M891" t="str">
        <f>IF(AND(L893&lt;L891,L893&lt;L894,L893&lt;$G$5),L893,"")</f>
        <v/>
      </c>
      <c r="N891" t="e">
        <f t="shared" si="192"/>
        <v>#N/A</v>
      </c>
      <c r="P891">
        <f t="shared" si="183"/>
        <v>2</v>
      </c>
      <c r="Q891">
        <f ca="1">IF(AND(A893&gt;=0,A891&lt;0),CELL("ROW",A893),IF(AND(A893&lt;0,A891&gt;=0),CELL("ROW",A893),""))</f>
        <v>893</v>
      </c>
      <c r="R891" t="str">
        <f t="shared" ca="1" si="184"/>
        <v>893</v>
      </c>
      <c r="T891">
        <f>S893-S891</f>
        <v>0</v>
      </c>
      <c r="V891">
        <v>2</v>
      </c>
      <c r="W891" t="str">
        <f t="shared" si="178"/>
        <v/>
      </c>
    </row>
    <row r="892" spans="1:23" outlineLevel="1" x14ac:dyDescent="0.3">
      <c r="O892" s="1" t="s">
        <v>27</v>
      </c>
      <c r="P892">
        <f>SUBTOTAL(3,P877:P891)</f>
        <v>15</v>
      </c>
      <c r="V892">
        <v>15</v>
      </c>
      <c r="W892">
        <f t="shared" si="178"/>
        <v>15</v>
      </c>
    </row>
    <row r="893" spans="1:23" outlineLevel="2" x14ac:dyDescent="0.3">
      <c r="A893">
        <v>12</v>
      </c>
      <c r="I893">
        <f t="shared" si="181"/>
        <v>12</v>
      </c>
      <c r="J893" t="str">
        <f t="shared" si="185"/>
        <v/>
      </c>
      <c r="K893" t="e">
        <f t="shared" ref="K893:K927" si="193">MATCH(J893,$A$1:$A$10041,0)</f>
        <v>#N/A</v>
      </c>
      <c r="L893" t="str">
        <f t="shared" si="182"/>
        <v/>
      </c>
      <c r="M893" t="str">
        <f t="shared" si="187"/>
        <v/>
      </c>
      <c r="N893" t="e">
        <f t="shared" ref="N893:N927" si="194">MATCH(M893,$A$1:$A$10041,0)</f>
        <v>#N/A</v>
      </c>
      <c r="P893">
        <f t="shared" si="183"/>
        <v>1</v>
      </c>
      <c r="Q893" t="str">
        <f t="shared" ca="1" si="189"/>
        <v/>
      </c>
      <c r="R893" t="str">
        <f t="shared" ca="1" si="184"/>
        <v/>
      </c>
      <c r="T893">
        <f t="shared" si="190"/>
        <v>0</v>
      </c>
      <c r="V893">
        <v>1</v>
      </c>
      <c r="W893" t="str">
        <f t="shared" si="178"/>
        <v/>
      </c>
    </row>
    <row r="894" spans="1:23" outlineLevel="2" x14ac:dyDescent="0.3">
      <c r="A894">
        <v>25.55</v>
      </c>
      <c r="I894">
        <f t="shared" si="181"/>
        <v>25.55</v>
      </c>
      <c r="J894" t="str">
        <f t="shared" si="185"/>
        <v/>
      </c>
      <c r="K894" t="e">
        <f t="shared" si="193"/>
        <v>#N/A</v>
      </c>
      <c r="L894" t="str">
        <f t="shared" si="182"/>
        <v/>
      </c>
      <c r="M894" t="str">
        <f t="shared" si="187"/>
        <v/>
      </c>
      <c r="N894" t="e">
        <f t="shared" si="194"/>
        <v>#N/A</v>
      </c>
      <c r="P894">
        <f t="shared" si="183"/>
        <v>1</v>
      </c>
      <c r="Q894" t="str">
        <f t="shared" ca="1" si="189"/>
        <v/>
      </c>
      <c r="R894" t="str">
        <f t="shared" ca="1" si="184"/>
        <v/>
      </c>
      <c r="T894">
        <f t="shared" si="190"/>
        <v>0</v>
      </c>
      <c r="V894">
        <v>1</v>
      </c>
      <c r="W894" t="str">
        <f t="shared" si="178"/>
        <v/>
      </c>
    </row>
    <row r="895" spans="1:23" outlineLevel="2" x14ac:dyDescent="0.3">
      <c r="A895">
        <v>35.950000000000003</v>
      </c>
      <c r="I895">
        <f t="shared" si="181"/>
        <v>35.950000000000003</v>
      </c>
      <c r="J895" t="str">
        <f t="shared" si="185"/>
        <v/>
      </c>
      <c r="K895" t="e">
        <f t="shared" si="193"/>
        <v>#N/A</v>
      </c>
      <c r="L895" t="str">
        <f t="shared" si="182"/>
        <v/>
      </c>
      <c r="M895" t="str">
        <f t="shared" si="187"/>
        <v/>
      </c>
      <c r="N895" t="e">
        <f t="shared" si="194"/>
        <v>#N/A</v>
      </c>
      <c r="P895">
        <f t="shared" si="183"/>
        <v>1</v>
      </c>
      <c r="Q895" t="str">
        <f t="shared" ca="1" si="189"/>
        <v/>
      </c>
      <c r="R895" t="str">
        <f t="shared" ca="1" si="184"/>
        <v/>
      </c>
      <c r="T895">
        <f t="shared" si="190"/>
        <v>0</v>
      </c>
      <c r="V895">
        <v>1</v>
      </c>
      <c r="W895" t="str">
        <f t="shared" si="178"/>
        <v/>
      </c>
    </row>
    <row r="896" spans="1:23" outlineLevel="2" x14ac:dyDescent="0.3">
      <c r="A896">
        <v>42.53</v>
      </c>
      <c r="I896">
        <f t="shared" si="181"/>
        <v>42.53</v>
      </c>
      <c r="J896" t="str">
        <f t="shared" si="185"/>
        <v/>
      </c>
      <c r="K896" t="e">
        <f t="shared" si="193"/>
        <v>#N/A</v>
      </c>
      <c r="L896" t="str">
        <f t="shared" si="182"/>
        <v/>
      </c>
      <c r="M896" t="str">
        <f t="shared" si="187"/>
        <v/>
      </c>
      <c r="N896" t="e">
        <f t="shared" si="194"/>
        <v>#N/A</v>
      </c>
      <c r="P896">
        <f t="shared" si="183"/>
        <v>1</v>
      </c>
      <c r="Q896" t="str">
        <f t="shared" ca="1" si="189"/>
        <v/>
      </c>
      <c r="R896" t="str">
        <f t="shared" ca="1" si="184"/>
        <v/>
      </c>
      <c r="T896">
        <f t="shared" si="190"/>
        <v>0</v>
      </c>
      <c r="V896">
        <v>1</v>
      </c>
      <c r="W896" t="str">
        <f t="shared" si="178"/>
        <v/>
      </c>
    </row>
    <row r="897" spans="1:23" outlineLevel="2" x14ac:dyDescent="0.3">
      <c r="A897">
        <v>46.81</v>
      </c>
      <c r="I897">
        <f t="shared" si="181"/>
        <v>46.81</v>
      </c>
      <c r="J897" t="str">
        <f t="shared" si="185"/>
        <v/>
      </c>
      <c r="K897" t="e">
        <f t="shared" si="193"/>
        <v>#N/A</v>
      </c>
      <c r="L897" t="str">
        <f t="shared" si="182"/>
        <v/>
      </c>
      <c r="M897" t="str">
        <f t="shared" si="187"/>
        <v/>
      </c>
      <c r="N897" t="e">
        <f t="shared" si="194"/>
        <v>#N/A</v>
      </c>
      <c r="P897">
        <f t="shared" si="183"/>
        <v>1</v>
      </c>
      <c r="Q897" t="str">
        <f t="shared" ca="1" si="189"/>
        <v/>
      </c>
      <c r="R897" t="str">
        <f t="shared" ca="1" si="184"/>
        <v/>
      </c>
      <c r="T897">
        <f t="shared" si="190"/>
        <v>0</v>
      </c>
      <c r="V897">
        <v>1</v>
      </c>
      <c r="W897" t="str">
        <f t="shared" si="178"/>
        <v/>
      </c>
    </row>
    <row r="898" spans="1:23" outlineLevel="2" x14ac:dyDescent="0.3">
      <c r="A898">
        <v>49.25</v>
      </c>
      <c r="I898">
        <f t="shared" si="181"/>
        <v>49.25</v>
      </c>
      <c r="J898" t="str">
        <f t="shared" si="185"/>
        <v/>
      </c>
      <c r="K898" t="e">
        <f t="shared" si="193"/>
        <v>#N/A</v>
      </c>
      <c r="L898" t="str">
        <f t="shared" si="182"/>
        <v/>
      </c>
      <c r="M898" t="str">
        <f t="shared" si="187"/>
        <v/>
      </c>
      <c r="N898" t="e">
        <f t="shared" si="194"/>
        <v>#N/A</v>
      </c>
      <c r="P898">
        <f t="shared" si="183"/>
        <v>1</v>
      </c>
      <c r="Q898" t="str">
        <f t="shared" ca="1" si="189"/>
        <v/>
      </c>
      <c r="R898" t="str">
        <f t="shared" ca="1" si="184"/>
        <v/>
      </c>
      <c r="T898">
        <f t="shared" si="190"/>
        <v>0</v>
      </c>
      <c r="V898">
        <v>1</v>
      </c>
      <c r="W898" t="str">
        <f t="shared" si="178"/>
        <v/>
      </c>
    </row>
    <row r="899" spans="1:23" outlineLevel="2" x14ac:dyDescent="0.3">
      <c r="A899">
        <v>50.24</v>
      </c>
      <c r="I899">
        <f t="shared" si="181"/>
        <v>50.24</v>
      </c>
      <c r="J899" t="str">
        <f t="shared" si="185"/>
        <v/>
      </c>
      <c r="K899" t="e">
        <f t="shared" si="193"/>
        <v>#N/A</v>
      </c>
      <c r="L899" t="str">
        <f t="shared" si="182"/>
        <v/>
      </c>
      <c r="M899" t="str">
        <f t="shared" si="187"/>
        <v/>
      </c>
      <c r="N899" t="e">
        <f t="shared" si="194"/>
        <v>#N/A</v>
      </c>
      <c r="P899">
        <f t="shared" si="183"/>
        <v>1</v>
      </c>
      <c r="Q899" t="str">
        <f t="shared" ca="1" si="189"/>
        <v/>
      </c>
      <c r="R899" t="str">
        <f t="shared" ca="1" si="184"/>
        <v/>
      </c>
      <c r="T899">
        <f t="shared" si="190"/>
        <v>0</v>
      </c>
      <c r="V899">
        <v>1</v>
      </c>
      <c r="W899" t="str">
        <f t="shared" ref="W899:W962" si="195">IF(AND(V899&gt;2,V899&lt;20),V899,"")</f>
        <v/>
      </c>
    </row>
    <row r="900" spans="1:23" outlineLevel="2" x14ac:dyDescent="0.3">
      <c r="A900">
        <v>51.24</v>
      </c>
      <c r="I900">
        <f t="shared" si="181"/>
        <v>51.24</v>
      </c>
      <c r="J900" t="str">
        <f t="shared" si="185"/>
        <v/>
      </c>
      <c r="K900" t="e">
        <f t="shared" si="193"/>
        <v>#N/A</v>
      </c>
      <c r="L900" t="str">
        <f t="shared" si="182"/>
        <v/>
      </c>
      <c r="M900" t="str">
        <f t="shared" si="187"/>
        <v/>
      </c>
      <c r="N900" t="e">
        <f t="shared" si="194"/>
        <v>#N/A</v>
      </c>
      <c r="P900">
        <f t="shared" si="183"/>
        <v>1</v>
      </c>
      <c r="Q900" t="str">
        <f t="shared" ca="1" si="189"/>
        <v/>
      </c>
      <c r="R900" t="str">
        <f t="shared" ca="1" si="184"/>
        <v/>
      </c>
      <c r="T900">
        <f t="shared" si="190"/>
        <v>0</v>
      </c>
      <c r="V900">
        <v>1</v>
      </c>
      <c r="W900" t="str">
        <f t="shared" si="195"/>
        <v/>
      </c>
    </row>
    <row r="901" spans="1:23" outlineLevel="2" x14ac:dyDescent="0.3">
      <c r="A901">
        <v>53.31</v>
      </c>
      <c r="I901">
        <f t="shared" si="181"/>
        <v>53.31</v>
      </c>
      <c r="J901" t="str">
        <f t="shared" si="185"/>
        <v/>
      </c>
      <c r="K901" t="e">
        <f t="shared" si="193"/>
        <v>#N/A</v>
      </c>
      <c r="L901" t="str">
        <f t="shared" si="182"/>
        <v/>
      </c>
      <c r="M901" t="str">
        <f t="shared" si="187"/>
        <v/>
      </c>
      <c r="N901" t="e">
        <f t="shared" si="194"/>
        <v>#N/A</v>
      </c>
      <c r="P901">
        <f t="shared" si="183"/>
        <v>1</v>
      </c>
      <c r="Q901" t="str">
        <f t="shared" ca="1" si="189"/>
        <v/>
      </c>
      <c r="R901" t="str">
        <f t="shared" ca="1" si="184"/>
        <v/>
      </c>
      <c r="T901">
        <f t="shared" si="190"/>
        <v>0</v>
      </c>
      <c r="V901">
        <v>1</v>
      </c>
      <c r="W901" t="str">
        <f t="shared" si="195"/>
        <v/>
      </c>
    </row>
    <row r="902" spans="1:23" outlineLevel="2" x14ac:dyDescent="0.3">
      <c r="A902">
        <v>56.2</v>
      </c>
      <c r="I902">
        <f t="shared" si="181"/>
        <v>56.2</v>
      </c>
      <c r="J902" t="str">
        <f t="shared" si="185"/>
        <v/>
      </c>
      <c r="K902" t="e">
        <f t="shared" si="193"/>
        <v>#N/A</v>
      </c>
      <c r="L902" t="str">
        <f t="shared" si="182"/>
        <v/>
      </c>
      <c r="M902" t="str">
        <f t="shared" si="187"/>
        <v/>
      </c>
      <c r="N902" t="e">
        <f t="shared" si="194"/>
        <v>#N/A</v>
      </c>
      <c r="P902">
        <f t="shared" si="183"/>
        <v>1</v>
      </c>
      <c r="Q902" t="str">
        <f t="shared" ca="1" si="189"/>
        <v/>
      </c>
      <c r="R902" t="str">
        <f t="shared" ca="1" si="184"/>
        <v/>
      </c>
      <c r="T902">
        <f t="shared" si="190"/>
        <v>0</v>
      </c>
      <c r="V902">
        <v>1</v>
      </c>
      <c r="W902" t="str">
        <f t="shared" si="195"/>
        <v/>
      </c>
    </row>
    <row r="903" spans="1:23" outlineLevel="2" x14ac:dyDescent="0.3">
      <c r="A903">
        <v>57.73</v>
      </c>
      <c r="I903">
        <f t="shared" si="181"/>
        <v>57.73</v>
      </c>
      <c r="J903" t="str">
        <f t="shared" si="185"/>
        <v/>
      </c>
      <c r="K903" t="e">
        <f t="shared" si="193"/>
        <v>#N/A</v>
      </c>
      <c r="L903" t="str">
        <f t="shared" si="182"/>
        <v/>
      </c>
      <c r="M903" t="str">
        <f t="shared" si="187"/>
        <v/>
      </c>
      <c r="N903" t="e">
        <f t="shared" si="194"/>
        <v>#N/A</v>
      </c>
      <c r="P903">
        <f t="shared" si="183"/>
        <v>1</v>
      </c>
      <c r="Q903" t="str">
        <f t="shared" ca="1" si="189"/>
        <v/>
      </c>
      <c r="R903" t="str">
        <f t="shared" ca="1" si="184"/>
        <v/>
      </c>
      <c r="T903">
        <f t="shared" si="190"/>
        <v>0</v>
      </c>
      <c r="V903">
        <v>1</v>
      </c>
      <c r="W903" t="str">
        <f t="shared" si="195"/>
        <v/>
      </c>
    </row>
    <row r="904" spans="1:23" outlineLevel="2" x14ac:dyDescent="0.3">
      <c r="A904">
        <v>57.31</v>
      </c>
      <c r="I904">
        <f t="shared" si="181"/>
        <v>57.31</v>
      </c>
      <c r="J904" t="str">
        <f t="shared" si="185"/>
        <v/>
      </c>
      <c r="K904" t="e">
        <f t="shared" si="193"/>
        <v>#N/A</v>
      </c>
      <c r="L904" t="str">
        <f t="shared" si="182"/>
        <v/>
      </c>
      <c r="M904" t="str">
        <f t="shared" si="187"/>
        <v/>
      </c>
      <c r="N904" t="e">
        <f t="shared" si="194"/>
        <v>#N/A</v>
      </c>
      <c r="P904">
        <f t="shared" si="183"/>
        <v>1</v>
      </c>
      <c r="Q904" t="str">
        <f t="shared" ca="1" si="189"/>
        <v/>
      </c>
      <c r="R904" t="str">
        <f t="shared" ca="1" si="184"/>
        <v/>
      </c>
      <c r="T904">
        <f t="shared" si="190"/>
        <v>0</v>
      </c>
      <c r="V904">
        <v>1</v>
      </c>
      <c r="W904" t="str">
        <f t="shared" si="195"/>
        <v/>
      </c>
    </row>
    <row r="905" spans="1:23" outlineLevel="2" x14ac:dyDescent="0.3">
      <c r="A905">
        <v>56.27</v>
      </c>
      <c r="I905">
        <f t="shared" si="181"/>
        <v>56.27</v>
      </c>
      <c r="J905" t="str">
        <f t="shared" si="185"/>
        <v/>
      </c>
      <c r="K905" t="e">
        <f t="shared" si="193"/>
        <v>#N/A</v>
      </c>
      <c r="L905" t="str">
        <f t="shared" si="182"/>
        <v/>
      </c>
      <c r="M905" t="str">
        <f t="shared" si="187"/>
        <v/>
      </c>
      <c r="N905" t="e">
        <f t="shared" si="194"/>
        <v>#N/A</v>
      </c>
      <c r="P905">
        <f t="shared" si="183"/>
        <v>1</v>
      </c>
      <c r="Q905" t="str">
        <f t="shared" ca="1" si="189"/>
        <v/>
      </c>
      <c r="R905" t="str">
        <f t="shared" ca="1" si="184"/>
        <v/>
      </c>
      <c r="T905">
        <f t="shared" si="190"/>
        <v>0</v>
      </c>
      <c r="V905">
        <v>1</v>
      </c>
      <c r="W905" t="str">
        <f t="shared" si="195"/>
        <v/>
      </c>
    </row>
    <row r="906" spans="1:23" outlineLevel="2" x14ac:dyDescent="0.3">
      <c r="A906">
        <v>54.95</v>
      </c>
      <c r="I906">
        <f t="shared" si="181"/>
        <v>54.95</v>
      </c>
      <c r="J906" t="str">
        <f t="shared" si="185"/>
        <v/>
      </c>
      <c r="K906" t="e">
        <f t="shared" si="193"/>
        <v>#N/A</v>
      </c>
      <c r="L906" t="str">
        <f t="shared" si="182"/>
        <v/>
      </c>
      <c r="M906" t="str">
        <f t="shared" si="187"/>
        <v/>
      </c>
      <c r="N906" t="e">
        <f t="shared" si="194"/>
        <v>#N/A</v>
      </c>
      <c r="P906">
        <f t="shared" si="183"/>
        <v>1</v>
      </c>
      <c r="Q906" t="str">
        <f t="shared" ca="1" si="189"/>
        <v/>
      </c>
      <c r="R906" t="str">
        <f t="shared" ca="1" si="184"/>
        <v/>
      </c>
      <c r="T906">
        <f t="shared" si="190"/>
        <v>0</v>
      </c>
      <c r="V906">
        <v>1</v>
      </c>
      <c r="W906" t="str">
        <f t="shared" si="195"/>
        <v/>
      </c>
    </row>
    <row r="907" spans="1:23" outlineLevel="2" x14ac:dyDescent="0.3">
      <c r="A907">
        <v>52.04</v>
      </c>
      <c r="I907">
        <f t="shared" si="181"/>
        <v>52.04</v>
      </c>
      <c r="J907" t="str">
        <f t="shared" si="185"/>
        <v/>
      </c>
      <c r="K907" t="e">
        <f t="shared" si="193"/>
        <v>#N/A</v>
      </c>
      <c r="L907" t="str">
        <f t="shared" si="182"/>
        <v/>
      </c>
      <c r="M907" t="str">
        <f t="shared" si="187"/>
        <v/>
      </c>
      <c r="N907" t="e">
        <f t="shared" si="194"/>
        <v>#N/A</v>
      </c>
      <c r="P907">
        <f t="shared" si="183"/>
        <v>1</v>
      </c>
      <c r="Q907" t="str">
        <f t="shared" ca="1" si="189"/>
        <v/>
      </c>
      <c r="R907" t="str">
        <f t="shared" ca="1" si="184"/>
        <v/>
      </c>
      <c r="T907">
        <f t="shared" si="190"/>
        <v>0</v>
      </c>
      <c r="V907">
        <v>1</v>
      </c>
      <c r="W907" t="str">
        <f t="shared" si="195"/>
        <v/>
      </c>
    </row>
    <row r="908" spans="1:23" outlineLevel="2" x14ac:dyDescent="0.3">
      <c r="A908">
        <v>48.5</v>
      </c>
      <c r="I908">
        <f t="shared" si="181"/>
        <v>48.5</v>
      </c>
      <c r="J908" t="str">
        <f t="shared" si="185"/>
        <v/>
      </c>
      <c r="K908" t="e">
        <f t="shared" si="193"/>
        <v>#N/A</v>
      </c>
      <c r="L908" t="str">
        <f t="shared" si="182"/>
        <v/>
      </c>
      <c r="M908" t="str">
        <f t="shared" si="187"/>
        <v/>
      </c>
      <c r="N908" t="e">
        <f t="shared" si="194"/>
        <v>#N/A</v>
      </c>
      <c r="P908">
        <f t="shared" si="183"/>
        <v>1</v>
      </c>
      <c r="Q908" t="str">
        <f t="shared" ca="1" si="189"/>
        <v/>
      </c>
      <c r="R908" t="str">
        <f t="shared" ca="1" si="184"/>
        <v/>
      </c>
      <c r="T908">
        <f t="shared" si="190"/>
        <v>0</v>
      </c>
      <c r="V908">
        <v>1</v>
      </c>
      <c r="W908" t="str">
        <f t="shared" si="195"/>
        <v/>
      </c>
    </row>
    <row r="909" spans="1:23" outlineLevel="2" x14ac:dyDescent="0.3">
      <c r="A909">
        <v>46.17</v>
      </c>
      <c r="I909">
        <f t="shared" si="181"/>
        <v>46.17</v>
      </c>
      <c r="J909" t="str">
        <f t="shared" si="185"/>
        <v/>
      </c>
      <c r="K909" t="e">
        <f t="shared" si="193"/>
        <v>#N/A</v>
      </c>
      <c r="L909" t="str">
        <f t="shared" si="182"/>
        <v/>
      </c>
      <c r="M909" t="str">
        <f t="shared" si="187"/>
        <v/>
      </c>
      <c r="N909" t="e">
        <f t="shared" si="194"/>
        <v>#N/A</v>
      </c>
      <c r="P909">
        <f t="shared" si="183"/>
        <v>1</v>
      </c>
      <c r="Q909" t="str">
        <f t="shared" ca="1" si="189"/>
        <v/>
      </c>
      <c r="R909" t="str">
        <f t="shared" ca="1" si="184"/>
        <v/>
      </c>
      <c r="T909">
        <f t="shared" si="190"/>
        <v>0</v>
      </c>
      <c r="V909">
        <v>1</v>
      </c>
      <c r="W909" t="str">
        <f t="shared" si="195"/>
        <v/>
      </c>
    </row>
    <row r="910" spans="1:23" outlineLevel="2" x14ac:dyDescent="0.3">
      <c r="A910">
        <v>45.02</v>
      </c>
      <c r="I910">
        <f t="shared" si="181"/>
        <v>45.02</v>
      </c>
      <c r="J910" t="str">
        <f t="shared" si="185"/>
        <v/>
      </c>
      <c r="K910" t="e">
        <f t="shared" si="193"/>
        <v>#N/A</v>
      </c>
      <c r="L910" t="str">
        <f t="shared" si="182"/>
        <v/>
      </c>
      <c r="M910" t="str">
        <f t="shared" si="187"/>
        <v/>
      </c>
      <c r="N910" t="e">
        <f t="shared" si="194"/>
        <v>#N/A</v>
      </c>
      <c r="P910">
        <f t="shared" si="183"/>
        <v>1</v>
      </c>
      <c r="Q910" t="str">
        <f t="shared" ca="1" si="189"/>
        <v/>
      </c>
      <c r="R910" t="str">
        <f t="shared" ca="1" si="184"/>
        <v/>
      </c>
      <c r="T910">
        <f t="shared" si="190"/>
        <v>0</v>
      </c>
      <c r="V910">
        <v>1</v>
      </c>
      <c r="W910" t="str">
        <f t="shared" si="195"/>
        <v/>
      </c>
    </row>
    <row r="911" spans="1:23" outlineLevel="2" x14ac:dyDescent="0.3">
      <c r="A911">
        <v>44.02</v>
      </c>
      <c r="I911">
        <f t="shared" si="181"/>
        <v>44.02</v>
      </c>
      <c r="J911" t="str">
        <f t="shared" si="185"/>
        <v/>
      </c>
      <c r="K911" t="e">
        <f t="shared" si="193"/>
        <v>#N/A</v>
      </c>
      <c r="L911" t="str">
        <f t="shared" si="182"/>
        <v/>
      </c>
      <c r="M911" t="str">
        <f t="shared" si="187"/>
        <v/>
      </c>
      <c r="N911" t="e">
        <f t="shared" si="194"/>
        <v>#N/A</v>
      </c>
      <c r="P911">
        <f t="shared" si="183"/>
        <v>1</v>
      </c>
      <c r="Q911" t="str">
        <f t="shared" ca="1" si="189"/>
        <v/>
      </c>
      <c r="R911" t="str">
        <f t="shared" ca="1" si="184"/>
        <v/>
      </c>
      <c r="T911">
        <f t="shared" si="190"/>
        <v>0</v>
      </c>
      <c r="V911">
        <v>1</v>
      </c>
      <c r="W911" t="str">
        <f t="shared" si="195"/>
        <v/>
      </c>
    </row>
    <row r="912" spans="1:23" outlineLevel="2" x14ac:dyDescent="0.3">
      <c r="A912">
        <v>43.03</v>
      </c>
      <c r="I912">
        <f t="shared" si="181"/>
        <v>43.03</v>
      </c>
      <c r="J912" t="str">
        <f t="shared" si="185"/>
        <v/>
      </c>
      <c r="K912" t="e">
        <f t="shared" si="193"/>
        <v>#N/A</v>
      </c>
      <c r="L912" t="str">
        <f t="shared" si="182"/>
        <v/>
      </c>
      <c r="M912" t="str">
        <f t="shared" si="187"/>
        <v/>
      </c>
      <c r="N912" t="e">
        <f t="shared" si="194"/>
        <v>#N/A</v>
      </c>
      <c r="P912">
        <f t="shared" si="183"/>
        <v>1</v>
      </c>
      <c r="Q912" t="str">
        <f t="shared" ca="1" si="189"/>
        <v/>
      </c>
      <c r="R912" t="str">
        <f t="shared" ca="1" si="184"/>
        <v/>
      </c>
      <c r="T912">
        <f t="shared" si="190"/>
        <v>0</v>
      </c>
      <c r="V912">
        <v>1</v>
      </c>
      <c r="W912" t="str">
        <f t="shared" si="195"/>
        <v/>
      </c>
    </row>
    <row r="913" spans="1:23" outlineLevel="2" x14ac:dyDescent="0.3">
      <c r="A913">
        <v>43.65</v>
      </c>
      <c r="I913">
        <f t="shared" si="181"/>
        <v>43.65</v>
      </c>
      <c r="J913" t="str">
        <f t="shared" si="185"/>
        <v/>
      </c>
      <c r="K913" t="e">
        <f t="shared" si="193"/>
        <v>#N/A</v>
      </c>
      <c r="L913" t="str">
        <f t="shared" si="182"/>
        <v/>
      </c>
      <c r="M913" t="str">
        <f t="shared" si="187"/>
        <v/>
      </c>
      <c r="N913" t="e">
        <f t="shared" si="194"/>
        <v>#N/A</v>
      </c>
      <c r="P913">
        <f t="shared" si="183"/>
        <v>1</v>
      </c>
      <c r="Q913" t="str">
        <f t="shared" ca="1" si="189"/>
        <v/>
      </c>
      <c r="R913" t="str">
        <f t="shared" ca="1" si="184"/>
        <v/>
      </c>
      <c r="T913">
        <f t="shared" si="190"/>
        <v>0</v>
      </c>
      <c r="V913">
        <v>1</v>
      </c>
      <c r="W913" t="str">
        <f t="shared" si="195"/>
        <v/>
      </c>
    </row>
    <row r="914" spans="1:23" outlineLevel="2" x14ac:dyDescent="0.3">
      <c r="A914">
        <v>47.15</v>
      </c>
      <c r="I914">
        <f t="shared" si="181"/>
        <v>47.15</v>
      </c>
      <c r="J914" t="str">
        <f t="shared" si="185"/>
        <v/>
      </c>
      <c r="K914" t="e">
        <f t="shared" si="193"/>
        <v>#N/A</v>
      </c>
      <c r="L914" t="str">
        <f t="shared" si="182"/>
        <v/>
      </c>
      <c r="M914" t="str">
        <f t="shared" si="187"/>
        <v/>
      </c>
      <c r="N914" t="e">
        <f t="shared" si="194"/>
        <v>#N/A</v>
      </c>
      <c r="P914">
        <f t="shared" si="183"/>
        <v>1</v>
      </c>
      <c r="Q914" t="str">
        <f t="shared" ca="1" si="189"/>
        <v/>
      </c>
      <c r="R914" t="str">
        <f t="shared" ca="1" si="184"/>
        <v/>
      </c>
      <c r="T914">
        <f t="shared" si="190"/>
        <v>0</v>
      </c>
      <c r="V914">
        <v>1</v>
      </c>
      <c r="W914" t="str">
        <f t="shared" si="195"/>
        <v/>
      </c>
    </row>
    <row r="915" spans="1:23" outlineLevel="2" x14ac:dyDescent="0.3">
      <c r="A915">
        <v>49.55</v>
      </c>
      <c r="I915">
        <f t="shared" si="181"/>
        <v>49.55</v>
      </c>
      <c r="J915" t="str">
        <f t="shared" si="185"/>
        <v/>
      </c>
      <c r="K915" t="e">
        <f t="shared" si="193"/>
        <v>#N/A</v>
      </c>
      <c r="L915" t="str">
        <f t="shared" si="182"/>
        <v/>
      </c>
      <c r="M915" t="str">
        <f t="shared" si="187"/>
        <v/>
      </c>
      <c r="N915" t="e">
        <f t="shared" si="194"/>
        <v>#N/A</v>
      </c>
      <c r="P915">
        <f t="shared" si="183"/>
        <v>1</v>
      </c>
      <c r="Q915" t="str">
        <f t="shared" ca="1" si="189"/>
        <v/>
      </c>
      <c r="R915" t="str">
        <f t="shared" ca="1" si="184"/>
        <v/>
      </c>
      <c r="T915">
        <f t="shared" si="190"/>
        <v>0</v>
      </c>
      <c r="V915">
        <v>1</v>
      </c>
      <c r="W915" t="str">
        <f t="shared" si="195"/>
        <v/>
      </c>
    </row>
    <row r="916" spans="1:23" outlineLevel="2" x14ac:dyDescent="0.3">
      <c r="A916">
        <v>46.7</v>
      </c>
      <c r="I916">
        <f t="shared" si="181"/>
        <v>46.7</v>
      </c>
      <c r="J916" t="str">
        <f t="shared" si="185"/>
        <v/>
      </c>
      <c r="K916" t="e">
        <f t="shared" si="193"/>
        <v>#N/A</v>
      </c>
      <c r="L916" t="str">
        <f t="shared" si="182"/>
        <v/>
      </c>
      <c r="M916" t="str">
        <f t="shared" si="187"/>
        <v/>
      </c>
      <c r="N916" t="e">
        <f t="shared" si="194"/>
        <v>#N/A</v>
      </c>
      <c r="P916">
        <f t="shared" si="183"/>
        <v>1</v>
      </c>
      <c r="Q916" t="str">
        <f t="shared" ca="1" si="189"/>
        <v/>
      </c>
      <c r="R916" t="str">
        <f t="shared" ca="1" si="184"/>
        <v/>
      </c>
      <c r="T916">
        <f t="shared" si="190"/>
        <v>0</v>
      </c>
      <c r="V916">
        <v>1</v>
      </c>
      <c r="W916" t="str">
        <f t="shared" si="195"/>
        <v/>
      </c>
    </row>
    <row r="917" spans="1:23" outlineLevel="2" x14ac:dyDescent="0.3">
      <c r="A917">
        <v>41.72</v>
      </c>
      <c r="I917">
        <f t="shared" si="181"/>
        <v>41.72</v>
      </c>
      <c r="J917" t="str">
        <f t="shared" si="185"/>
        <v/>
      </c>
      <c r="K917" t="e">
        <f t="shared" si="193"/>
        <v>#N/A</v>
      </c>
      <c r="L917" t="str">
        <f t="shared" si="182"/>
        <v/>
      </c>
      <c r="M917" t="str">
        <f t="shared" si="187"/>
        <v/>
      </c>
      <c r="N917" t="e">
        <f t="shared" si="194"/>
        <v>#N/A</v>
      </c>
      <c r="P917">
        <f t="shared" si="183"/>
        <v>1</v>
      </c>
      <c r="Q917" t="str">
        <f t="shared" ca="1" si="189"/>
        <v/>
      </c>
      <c r="R917" t="str">
        <f t="shared" ca="1" si="184"/>
        <v/>
      </c>
      <c r="T917">
        <f t="shared" si="190"/>
        <v>0</v>
      </c>
      <c r="V917">
        <v>1</v>
      </c>
      <c r="W917" t="str">
        <f t="shared" si="195"/>
        <v/>
      </c>
    </row>
    <row r="918" spans="1:23" outlineLevel="2" x14ac:dyDescent="0.3">
      <c r="A918">
        <v>38.049999999999997</v>
      </c>
      <c r="I918">
        <f t="shared" si="181"/>
        <v>38.049999999999997</v>
      </c>
      <c r="J918" t="str">
        <f t="shared" si="185"/>
        <v/>
      </c>
      <c r="K918" t="e">
        <f t="shared" si="193"/>
        <v>#N/A</v>
      </c>
      <c r="L918" t="str">
        <f t="shared" si="182"/>
        <v/>
      </c>
      <c r="M918" t="str">
        <f t="shared" si="187"/>
        <v/>
      </c>
      <c r="N918" t="e">
        <f t="shared" si="194"/>
        <v>#N/A</v>
      </c>
      <c r="P918">
        <f t="shared" si="183"/>
        <v>1</v>
      </c>
      <c r="Q918" t="str">
        <f t="shared" ca="1" si="189"/>
        <v/>
      </c>
      <c r="R918" t="str">
        <f t="shared" ca="1" si="184"/>
        <v/>
      </c>
      <c r="T918">
        <f t="shared" si="190"/>
        <v>0</v>
      </c>
      <c r="V918">
        <v>1</v>
      </c>
      <c r="W918" t="str">
        <f t="shared" si="195"/>
        <v/>
      </c>
    </row>
    <row r="919" spans="1:23" outlineLevel="2" x14ac:dyDescent="0.3">
      <c r="A919">
        <v>34.14</v>
      </c>
      <c r="I919">
        <f t="shared" si="181"/>
        <v>34.14</v>
      </c>
      <c r="J919" t="str">
        <f t="shared" si="185"/>
        <v/>
      </c>
      <c r="K919" t="e">
        <f t="shared" si="193"/>
        <v>#N/A</v>
      </c>
      <c r="L919" t="str">
        <f t="shared" si="182"/>
        <v/>
      </c>
      <c r="M919" t="str">
        <f t="shared" si="187"/>
        <v/>
      </c>
      <c r="N919" t="e">
        <f t="shared" si="194"/>
        <v>#N/A</v>
      </c>
      <c r="P919">
        <f t="shared" si="183"/>
        <v>1</v>
      </c>
      <c r="Q919" t="str">
        <f t="shared" ca="1" si="189"/>
        <v/>
      </c>
      <c r="R919" t="str">
        <f t="shared" ca="1" si="184"/>
        <v/>
      </c>
      <c r="T919">
        <f t="shared" si="190"/>
        <v>0</v>
      </c>
      <c r="V919">
        <v>1</v>
      </c>
      <c r="W919" t="str">
        <f t="shared" si="195"/>
        <v/>
      </c>
    </row>
    <row r="920" spans="1:23" outlineLevel="2" x14ac:dyDescent="0.3">
      <c r="A920">
        <v>28.92</v>
      </c>
      <c r="I920">
        <f t="shared" si="181"/>
        <v>28.92</v>
      </c>
      <c r="J920" t="str">
        <f t="shared" si="185"/>
        <v/>
      </c>
      <c r="K920" t="e">
        <f t="shared" si="193"/>
        <v>#N/A</v>
      </c>
      <c r="L920" t="str">
        <f t="shared" si="182"/>
        <v/>
      </c>
      <c r="M920" t="str">
        <f t="shared" si="187"/>
        <v/>
      </c>
      <c r="N920" t="e">
        <f t="shared" si="194"/>
        <v>#N/A</v>
      </c>
      <c r="P920">
        <f t="shared" si="183"/>
        <v>1</v>
      </c>
      <c r="Q920" t="str">
        <f t="shared" ca="1" si="189"/>
        <v/>
      </c>
      <c r="R920" t="str">
        <f t="shared" ca="1" si="184"/>
        <v/>
      </c>
      <c r="T920">
        <f t="shared" si="190"/>
        <v>0</v>
      </c>
      <c r="V920">
        <v>1</v>
      </c>
      <c r="W920" t="str">
        <f t="shared" si="195"/>
        <v/>
      </c>
    </row>
    <row r="921" spans="1:23" outlineLevel="2" x14ac:dyDescent="0.3">
      <c r="A921">
        <v>25.09</v>
      </c>
      <c r="I921">
        <f t="shared" si="181"/>
        <v>25.09</v>
      </c>
      <c r="J921" t="str">
        <f t="shared" si="185"/>
        <v/>
      </c>
      <c r="K921" t="e">
        <f t="shared" si="193"/>
        <v>#N/A</v>
      </c>
      <c r="L921" t="str">
        <f t="shared" si="182"/>
        <v/>
      </c>
      <c r="M921" t="str">
        <f t="shared" si="187"/>
        <v/>
      </c>
      <c r="N921" t="e">
        <f t="shared" si="194"/>
        <v>#N/A</v>
      </c>
      <c r="P921">
        <f t="shared" si="183"/>
        <v>1</v>
      </c>
      <c r="Q921" t="str">
        <f t="shared" ca="1" si="189"/>
        <v/>
      </c>
      <c r="R921" t="str">
        <f t="shared" ca="1" si="184"/>
        <v/>
      </c>
      <c r="T921">
        <f t="shared" si="190"/>
        <v>0</v>
      </c>
      <c r="V921">
        <v>1</v>
      </c>
      <c r="W921" t="str">
        <f t="shared" si="195"/>
        <v/>
      </c>
    </row>
    <row r="922" spans="1:23" outlineLevel="2" x14ac:dyDescent="0.3">
      <c r="A922">
        <v>23.95</v>
      </c>
      <c r="I922">
        <f t="shared" si="181"/>
        <v>23.95</v>
      </c>
      <c r="J922" t="str">
        <f t="shared" si="185"/>
        <v/>
      </c>
      <c r="K922" t="e">
        <f t="shared" si="193"/>
        <v>#N/A</v>
      </c>
      <c r="L922" t="str">
        <f t="shared" si="182"/>
        <v/>
      </c>
      <c r="M922" t="str">
        <f t="shared" si="187"/>
        <v/>
      </c>
      <c r="N922" t="e">
        <f t="shared" si="194"/>
        <v>#N/A</v>
      </c>
      <c r="P922">
        <f t="shared" si="183"/>
        <v>1</v>
      </c>
      <c r="Q922" t="str">
        <f t="shared" ca="1" si="189"/>
        <v/>
      </c>
      <c r="R922" t="str">
        <f t="shared" ca="1" si="184"/>
        <v/>
      </c>
      <c r="T922">
        <f t="shared" si="190"/>
        <v>0</v>
      </c>
      <c r="V922">
        <v>1</v>
      </c>
      <c r="W922" t="str">
        <f t="shared" si="195"/>
        <v/>
      </c>
    </row>
    <row r="923" spans="1:23" outlineLevel="2" x14ac:dyDescent="0.3">
      <c r="A923">
        <v>24.62</v>
      </c>
      <c r="I923">
        <f t="shared" si="181"/>
        <v>24.62</v>
      </c>
      <c r="J923" t="str">
        <f t="shared" si="185"/>
        <v/>
      </c>
      <c r="K923" t="e">
        <f t="shared" si="193"/>
        <v>#N/A</v>
      </c>
      <c r="L923" t="str">
        <f t="shared" si="182"/>
        <v/>
      </c>
      <c r="M923" t="str">
        <f t="shared" si="187"/>
        <v/>
      </c>
      <c r="N923" t="e">
        <f t="shared" si="194"/>
        <v>#N/A</v>
      </c>
      <c r="P923">
        <f t="shared" si="183"/>
        <v>1</v>
      </c>
      <c r="Q923" t="str">
        <f t="shared" ca="1" si="189"/>
        <v/>
      </c>
      <c r="R923" t="str">
        <f t="shared" ca="1" si="184"/>
        <v/>
      </c>
      <c r="T923">
        <f t="shared" si="190"/>
        <v>0</v>
      </c>
      <c r="V923">
        <v>1</v>
      </c>
      <c r="W923" t="str">
        <f t="shared" si="195"/>
        <v/>
      </c>
    </row>
    <row r="924" spans="1:23" outlineLevel="2" x14ac:dyDescent="0.3">
      <c r="A924">
        <v>25.51</v>
      </c>
      <c r="I924">
        <f t="shared" si="181"/>
        <v>25.51</v>
      </c>
      <c r="J924" t="str">
        <f t="shared" si="185"/>
        <v/>
      </c>
      <c r="K924" t="e">
        <f t="shared" si="193"/>
        <v>#N/A</v>
      </c>
      <c r="L924" t="str">
        <f t="shared" si="182"/>
        <v/>
      </c>
      <c r="M924" t="str">
        <f t="shared" si="187"/>
        <v/>
      </c>
      <c r="N924" t="e">
        <f t="shared" si="194"/>
        <v>#N/A</v>
      </c>
      <c r="P924">
        <f t="shared" si="183"/>
        <v>1</v>
      </c>
      <c r="Q924" t="str">
        <f t="shared" ca="1" si="189"/>
        <v/>
      </c>
      <c r="R924" t="str">
        <f t="shared" ca="1" si="184"/>
        <v/>
      </c>
      <c r="T924">
        <f t="shared" si="190"/>
        <v>0</v>
      </c>
      <c r="V924">
        <v>1</v>
      </c>
      <c r="W924" t="str">
        <f t="shared" si="195"/>
        <v/>
      </c>
    </row>
    <row r="925" spans="1:23" outlineLevel="2" x14ac:dyDescent="0.3">
      <c r="A925">
        <v>24.89</v>
      </c>
      <c r="I925">
        <f t="shared" si="181"/>
        <v>24.89</v>
      </c>
      <c r="J925" t="str">
        <f t="shared" si="185"/>
        <v/>
      </c>
      <c r="K925" t="e">
        <f t="shared" si="193"/>
        <v>#N/A</v>
      </c>
      <c r="L925" t="str">
        <f t="shared" si="182"/>
        <v/>
      </c>
      <c r="M925" t="str">
        <f t="shared" si="187"/>
        <v/>
      </c>
      <c r="N925" t="e">
        <f t="shared" si="194"/>
        <v>#N/A</v>
      </c>
      <c r="P925">
        <f t="shared" si="183"/>
        <v>1</v>
      </c>
      <c r="Q925" t="str">
        <f t="shared" ca="1" si="189"/>
        <v/>
      </c>
      <c r="R925" t="str">
        <f t="shared" ca="1" si="184"/>
        <v/>
      </c>
      <c r="T925">
        <f t="shared" si="190"/>
        <v>0</v>
      </c>
      <c r="V925">
        <v>1</v>
      </c>
      <c r="W925" t="str">
        <f t="shared" si="195"/>
        <v/>
      </c>
    </row>
    <row r="926" spans="1:23" outlineLevel="2" x14ac:dyDescent="0.3">
      <c r="A926">
        <v>21.06</v>
      </c>
      <c r="I926">
        <f t="shared" si="181"/>
        <v>21.06</v>
      </c>
      <c r="J926" t="str">
        <f>IF(AND(I927&gt;I926,I927&gt;I929,I927&gt;$D$5),I927,"")</f>
        <v/>
      </c>
      <c r="K926" t="e">
        <f t="shared" si="193"/>
        <v>#N/A</v>
      </c>
      <c r="L926" t="str">
        <f t="shared" si="182"/>
        <v/>
      </c>
      <c r="M926" t="str">
        <f>IF(AND(L927&lt;L926,L927&lt;L929,L927&lt;$G$5),L927,"")</f>
        <v/>
      </c>
      <c r="N926" t="e">
        <f t="shared" si="194"/>
        <v>#N/A</v>
      </c>
      <c r="P926">
        <f t="shared" si="183"/>
        <v>1</v>
      </c>
      <c r="Q926" t="str">
        <f t="shared" ca="1" si="189"/>
        <v/>
      </c>
      <c r="R926" t="str">
        <f t="shared" ca="1" si="184"/>
        <v/>
      </c>
      <c r="T926">
        <f t="shared" si="190"/>
        <v>0</v>
      </c>
      <c r="V926">
        <v>1</v>
      </c>
      <c r="W926" t="str">
        <f t="shared" si="195"/>
        <v/>
      </c>
    </row>
    <row r="927" spans="1:23" outlineLevel="2" x14ac:dyDescent="0.3">
      <c r="A927">
        <v>14.59</v>
      </c>
      <c r="I927">
        <f t="shared" si="181"/>
        <v>14.59</v>
      </c>
      <c r="J927" t="str">
        <f>IF(AND(I929&gt;I927,I929&gt;I930,I929&gt;$D$5),I929,"")</f>
        <v/>
      </c>
      <c r="K927" t="e">
        <f t="shared" si="193"/>
        <v>#N/A</v>
      </c>
      <c r="L927" t="str">
        <f t="shared" si="182"/>
        <v/>
      </c>
      <c r="M927" t="str">
        <f>IF(AND(L929&lt;L927,L929&lt;L930,L929&lt;$G$5),L929,"")</f>
        <v/>
      </c>
      <c r="N927" t="e">
        <f t="shared" si="194"/>
        <v>#N/A</v>
      </c>
      <c r="P927">
        <f t="shared" si="183"/>
        <v>1</v>
      </c>
      <c r="Q927">
        <f ca="1">IF(AND(A929&gt;=0,A927&lt;0),CELL("ROW",A929),IF(AND(A929&lt;0,A927&gt;=0),CELL("ROW",A929),""))</f>
        <v>929</v>
      </c>
      <c r="R927" t="str">
        <f t="shared" ca="1" si="184"/>
        <v>929</v>
      </c>
      <c r="T927">
        <f>S929-S927</f>
        <v>0</v>
      </c>
      <c r="V927">
        <v>1</v>
      </c>
      <c r="W927" t="str">
        <f t="shared" si="195"/>
        <v/>
      </c>
    </row>
    <row r="928" spans="1:23" outlineLevel="1" x14ac:dyDescent="0.3">
      <c r="O928" s="1" t="s">
        <v>26</v>
      </c>
      <c r="P928">
        <f>SUBTOTAL(3,P893:P927)</f>
        <v>35</v>
      </c>
      <c r="V928">
        <v>35</v>
      </c>
      <c r="W928" t="str">
        <f t="shared" si="195"/>
        <v/>
      </c>
    </row>
    <row r="929" spans="1:23" outlineLevel="2" x14ac:dyDescent="0.3">
      <c r="A929">
        <v>-15.2</v>
      </c>
      <c r="I929" t="str">
        <f t="shared" si="181"/>
        <v/>
      </c>
      <c r="J929" t="str">
        <f t="shared" si="185"/>
        <v/>
      </c>
      <c r="K929" t="e">
        <f t="shared" ref="K929:K958" si="196">MATCH(J929,$A$1:$A$10041,0)</f>
        <v>#N/A</v>
      </c>
      <c r="L929">
        <f t="shared" si="182"/>
        <v>-15.2</v>
      </c>
      <c r="M929" t="str">
        <f t="shared" si="187"/>
        <v/>
      </c>
      <c r="N929" t="e">
        <f t="shared" ref="N929:N958" si="197">MATCH(M929,$A$1:$A$10041,0)</f>
        <v>#N/A</v>
      </c>
      <c r="P929">
        <f t="shared" si="183"/>
        <v>2</v>
      </c>
      <c r="Q929" t="str">
        <f t="shared" ca="1" si="189"/>
        <v/>
      </c>
      <c r="R929" t="str">
        <f t="shared" ca="1" si="184"/>
        <v/>
      </c>
      <c r="T929">
        <f t="shared" si="190"/>
        <v>0</v>
      </c>
      <c r="V929">
        <v>2</v>
      </c>
      <c r="W929" t="str">
        <f t="shared" si="195"/>
        <v/>
      </c>
    </row>
    <row r="930" spans="1:23" outlineLevel="2" x14ac:dyDescent="0.3">
      <c r="A930">
        <v>-16.96</v>
      </c>
      <c r="I930" t="str">
        <f t="shared" si="181"/>
        <v/>
      </c>
      <c r="J930" t="str">
        <f t="shared" si="185"/>
        <v/>
      </c>
      <c r="K930" t="e">
        <f t="shared" si="196"/>
        <v>#N/A</v>
      </c>
      <c r="L930">
        <f t="shared" si="182"/>
        <v>-16.96</v>
      </c>
      <c r="M930" t="str">
        <f t="shared" si="187"/>
        <v/>
      </c>
      <c r="N930" t="e">
        <f t="shared" si="197"/>
        <v>#N/A</v>
      </c>
      <c r="P930">
        <f t="shared" si="183"/>
        <v>2</v>
      </c>
      <c r="Q930" t="str">
        <f t="shared" ca="1" si="189"/>
        <v/>
      </c>
      <c r="R930" t="str">
        <f t="shared" ca="1" si="184"/>
        <v/>
      </c>
      <c r="T930">
        <f t="shared" si="190"/>
        <v>0</v>
      </c>
      <c r="V930">
        <v>2</v>
      </c>
      <c r="W930" t="str">
        <f t="shared" si="195"/>
        <v/>
      </c>
    </row>
    <row r="931" spans="1:23" outlineLevel="2" x14ac:dyDescent="0.3">
      <c r="A931">
        <v>-16.690000000000001</v>
      </c>
      <c r="I931" t="str">
        <f t="shared" si="181"/>
        <v/>
      </c>
      <c r="J931" t="str">
        <f t="shared" si="185"/>
        <v/>
      </c>
      <c r="K931" t="e">
        <f t="shared" si="196"/>
        <v>#N/A</v>
      </c>
      <c r="L931">
        <f t="shared" si="182"/>
        <v>-16.690000000000001</v>
      </c>
      <c r="M931" t="str">
        <f t="shared" si="187"/>
        <v/>
      </c>
      <c r="N931" t="e">
        <f t="shared" si="197"/>
        <v>#N/A</v>
      </c>
      <c r="P931">
        <f t="shared" si="183"/>
        <v>2</v>
      </c>
      <c r="Q931" t="str">
        <f t="shared" ca="1" si="189"/>
        <v/>
      </c>
      <c r="R931" t="str">
        <f t="shared" ca="1" si="184"/>
        <v/>
      </c>
      <c r="T931">
        <f t="shared" si="190"/>
        <v>0</v>
      </c>
      <c r="V931">
        <v>2</v>
      </c>
      <c r="W931" t="str">
        <f t="shared" si="195"/>
        <v/>
      </c>
    </row>
    <row r="932" spans="1:23" outlineLevel="2" x14ac:dyDescent="0.3">
      <c r="A932">
        <v>-17.21</v>
      </c>
      <c r="I932" t="str">
        <f t="shared" ref="I932:I996" si="198">IF(A932&gt;0,A932,"")</f>
        <v/>
      </c>
      <c r="J932" t="str">
        <f t="shared" ref="J932:J996" si="199">IF(AND(I933&gt;I932,I933&gt;I934,I933&gt;$D$5),I933,"")</f>
        <v/>
      </c>
      <c r="K932" t="e">
        <f t="shared" si="196"/>
        <v>#N/A</v>
      </c>
      <c r="L932">
        <f t="shared" ref="L932:L996" si="200">IF(A932&lt;0,A932,"")</f>
        <v>-17.21</v>
      </c>
      <c r="M932" t="str">
        <f t="shared" ref="M932:M996" si="201">IF(AND(L933&lt;L932,L933&lt;L934,L933&lt;$G$5),L933,"")</f>
        <v/>
      </c>
      <c r="N932" t="e">
        <f t="shared" si="197"/>
        <v>#N/A</v>
      </c>
      <c r="P932">
        <f t="shared" ref="P932:P996" si="202">IF(A932&gt;0,1,2)</f>
        <v>2</v>
      </c>
      <c r="Q932" t="str">
        <f t="shared" ref="Q932:Q996" ca="1" si="203">IF(AND(A933&gt;=0,A932&lt;0),CELL("ROW",A933),IF(AND(A933&lt;0,A932&gt;=0),CELL("ROW",A933),""))</f>
        <v/>
      </c>
      <c r="R932" t="str">
        <f t="shared" ref="R932:R996" ca="1" si="204">IF(ISNUMBER(K932),IF(INT(K932)=K932,K932,""),"")&amp;IF(ISNUMBER(N932),IF(INT(N932)=N932,N932,""),"")&amp;IF(ISNUMBER(Q932),IF(INT(Q932)=Q932,Q932,""),"")</f>
        <v/>
      </c>
      <c r="T932">
        <f t="shared" ref="T932:T996" si="205">S933-S932</f>
        <v>0</v>
      </c>
      <c r="V932">
        <v>2</v>
      </c>
      <c r="W932" t="str">
        <f t="shared" si="195"/>
        <v/>
      </c>
    </row>
    <row r="933" spans="1:23" outlineLevel="2" x14ac:dyDescent="0.3">
      <c r="A933">
        <v>-19.28</v>
      </c>
      <c r="I933" t="str">
        <f t="shared" si="198"/>
        <v/>
      </c>
      <c r="J933" t="str">
        <f t="shared" si="199"/>
        <v/>
      </c>
      <c r="K933" t="e">
        <f t="shared" si="196"/>
        <v>#N/A</v>
      </c>
      <c r="L933">
        <f t="shared" si="200"/>
        <v>-19.28</v>
      </c>
      <c r="M933" t="str">
        <f t="shared" si="201"/>
        <v/>
      </c>
      <c r="N933" t="e">
        <f t="shared" si="197"/>
        <v>#N/A</v>
      </c>
      <c r="P933">
        <f t="shared" si="202"/>
        <v>2</v>
      </c>
      <c r="Q933" t="str">
        <f t="shared" ca="1" si="203"/>
        <v/>
      </c>
      <c r="R933" t="str">
        <f t="shared" ca="1" si="204"/>
        <v/>
      </c>
      <c r="T933">
        <f t="shared" si="205"/>
        <v>0</v>
      </c>
      <c r="V933">
        <v>2</v>
      </c>
      <c r="W933" t="str">
        <f t="shared" si="195"/>
        <v/>
      </c>
    </row>
    <row r="934" spans="1:23" outlineLevel="2" x14ac:dyDescent="0.3">
      <c r="A934">
        <v>-22.44</v>
      </c>
      <c r="I934" t="str">
        <f t="shared" si="198"/>
        <v/>
      </c>
      <c r="J934" t="str">
        <f t="shared" si="199"/>
        <v/>
      </c>
      <c r="K934" t="e">
        <f t="shared" si="196"/>
        <v>#N/A</v>
      </c>
      <c r="L934">
        <f t="shared" si="200"/>
        <v>-22.44</v>
      </c>
      <c r="M934" t="str">
        <f t="shared" si="201"/>
        <v/>
      </c>
      <c r="N934" t="e">
        <f t="shared" si="197"/>
        <v>#N/A</v>
      </c>
      <c r="P934">
        <f t="shared" si="202"/>
        <v>2</v>
      </c>
      <c r="Q934" t="str">
        <f t="shared" ca="1" si="203"/>
        <v/>
      </c>
      <c r="R934" t="str">
        <f t="shared" ca="1" si="204"/>
        <v/>
      </c>
      <c r="T934">
        <f t="shared" si="205"/>
        <v>0</v>
      </c>
      <c r="V934">
        <v>2</v>
      </c>
      <c r="W934" t="str">
        <f t="shared" si="195"/>
        <v/>
      </c>
    </row>
    <row r="935" spans="1:23" outlineLevel="2" x14ac:dyDescent="0.3">
      <c r="A935">
        <v>-25.02</v>
      </c>
      <c r="I935" t="str">
        <f t="shared" si="198"/>
        <v/>
      </c>
      <c r="J935" t="str">
        <f t="shared" si="199"/>
        <v/>
      </c>
      <c r="K935" t="e">
        <f t="shared" si="196"/>
        <v>#N/A</v>
      </c>
      <c r="L935">
        <f t="shared" si="200"/>
        <v>-25.02</v>
      </c>
      <c r="M935" t="str">
        <f t="shared" si="201"/>
        <v/>
      </c>
      <c r="N935" t="e">
        <f t="shared" si="197"/>
        <v>#N/A</v>
      </c>
      <c r="P935">
        <f t="shared" si="202"/>
        <v>2</v>
      </c>
      <c r="Q935" t="str">
        <f t="shared" ca="1" si="203"/>
        <v/>
      </c>
      <c r="R935" t="str">
        <f t="shared" ca="1" si="204"/>
        <v/>
      </c>
      <c r="T935">
        <f t="shared" si="205"/>
        <v>0</v>
      </c>
      <c r="V935">
        <v>2</v>
      </c>
      <c r="W935" t="str">
        <f t="shared" si="195"/>
        <v/>
      </c>
    </row>
    <row r="936" spans="1:23" outlineLevel="2" x14ac:dyDescent="0.3">
      <c r="A936">
        <v>-27.36</v>
      </c>
      <c r="I936" t="str">
        <f t="shared" si="198"/>
        <v/>
      </c>
      <c r="J936" t="str">
        <f t="shared" si="199"/>
        <v/>
      </c>
      <c r="K936" t="e">
        <f t="shared" si="196"/>
        <v>#N/A</v>
      </c>
      <c r="L936">
        <f t="shared" si="200"/>
        <v>-27.36</v>
      </c>
      <c r="M936" t="str">
        <f t="shared" si="201"/>
        <v/>
      </c>
      <c r="N936" t="e">
        <f t="shared" si="197"/>
        <v>#N/A</v>
      </c>
      <c r="P936">
        <f t="shared" si="202"/>
        <v>2</v>
      </c>
      <c r="Q936" t="str">
        <f t="shared" ca="1" si="203"/>
        <v/>
      </c>
      <c r="R936" t="str">
        <f t="shared" ca="1" si="204"/>
        <v/>
      </c>
      <c r="T936">
        <f t="shared" si="205"/>
        <v>0</v>
      </c>
      <c r="V936">
        <v>2</v>
      </c>
      <c r="W936" t="str">
        <f t="shared" si="195"/>
        <v/>
      </c>
    </row>
    <row r="937" spans="1:23" outlineLevel="2" x14ac:dyDescent="0.3">
      <c r="A937">
        <v>-30.86</v>
      </c>
      <c r="I937" t="str">
        <f t="shared" si="198"/>
        <v/>
      </c>
      <c r="J937" t="str">
        <f t="shared" si="199"/>
        <v/>
      </c>
      <c r="K937" t="e">
        <f t="shared" si="196"/>
        <v>#N/A</v>
      </c>
      <c r="L937">
        <f t="shared" si="200"/>
        <v>-30.86</v>
      </c>
      <c r="M937" t="str">
        <f t="shared" si="201"/>
        <v/>
      </c>
      <c r="N937" t="e">
        <f t="shared" si="197"/>
        <v>#N/A</v>
      </c>
      <c r="P937">
        <f t="shared" si="202"/>
        <v>2</v>
      </c>
      <c r="Q937" t="str">
        <f t="shared" ca="1" si="203"/>
        <v/>
      </c>
      <c r="R937" t="str">
        <f t="shared" ca="1" si="204"/>
        <v/>
      </c>
      <c r="T937">
        <f t="shared" si="205"/>
        <v>0</v>
      </c>
      <c r="V937">
        <v>2</v>
      </c>
      <c r="W937" t="str">
        <f t="shared" si="195"/>
        <v/>
      </c>
    </row>
    <row r="938" spans="1:23" outlineLevel="2" x14ac:dyDescent="0.3">
      <c r="A938">
        <v>-34.200000000000003</v>
      </c>
      <c r="I938" t="str">
        <f t="shared" si="198"/>
        <v/>
      </c>
      <c r="J938" t="str">
        <f t="shared" si="199"/>
        <v/>
      </c>
      <c r="K938" t="e">
        <f t="shared" si="196"/>
        <v>#N/A</v>
      </c>
      <c r="L938">
        <f t="shared" si="200"/>
        <v>-34.200000000000003</v>
      </c>
      <c r="M938" t="str">
        <f t="shared" si="201"/>
        <v/>
      </c>
      <c r="N938" t="e">
        <f t="shared" si="197"/>
        <v>#N/A</v>
      </c>
      <c r="P938">
        <f t="shared" si="202"/>
        <v>2</v>
      </c>
      <c r="Q938" t="str">
        <f t="shared" ca="1" si="203"/>
        <v/>
      </c>
      <c r="R938" t="str">
        <f t="shared" ca="1" si="204"/>
        <v/>
      </c>
      <c r="T938">
        <f t="shared" si="205"/>
        <v>0</v>
      </c>
      <c r="V938">
        <v>2</v>
      </c>
      <c r="W938" t="str">
        <f t="shared" si="195"/>
        <v/>
      </c>
    </row>
    <row r="939" spans="1:23" outlineLevel="2" x14ac:dyDescent="0.3">
      <c r="A939">
        <v>-36</v>
      </c>
      <c r="I939" t="str">
        <f t="shared" si="198"/>
        <v/>
      </c>
      <c r="J939" t="str">
        <f t="shared" si="199"/>
        <v/>
      </c>
      <c r="K939" t="e">
        <f t="shared" si="196"/>
        <v>#N/A</v>
      </c>
      <c r="L939">
        <f t="shared" si="200"/>
        <v>-36</v>
      </c>
      <c r="M939" t="str">
        <f t="shared" si="201"/>
        <v/>
      </c>
      <c r="N939" t="e">
        <f t="shared" si="197"/>
        <v>#N/A</v>
      </c>
      <c r="P939">
        <f t="shared" si="202"/>
        <v>2</v>
      </c>
      <c r="Q939" t="str">
        <f t="shared" ca="1" si="203"/>
        <v/>
      </c>
      <c r="R939" t="str">
        <f t="shared" ca="1" si="204"/>
        <v/>
      </c>
      <c r="T939">
        <f t="shared" si="205"/>
        <v>0</v>
      </c>
      <c r="V939">
        <v>2</v>
      </c>
      <c r="W939" t="str">
        <f t="shared" si="195"/>
        <v/>
      </c>
    </row>
    <row r="940" spans="1:23" outlineLevel="2" x14ac:dyDescent="0.3">
      <c r="A940">
        <v>-36.93</v>
      </c>
      <c r="I940" t="str">
        <f t="shared" si="198"/>
        <v/>
      </c>
      <c r="J940" t="str">
        <f t="shared" si="199"/>
        <v/>
      </c>
      <c r="K940" t="e">
        <f t="shared" si="196"/>
        <v>#N/A</v>
      </c>
      <c r="L940">
        <f t="shared" si="200"/>
        <v>-36.93</v>
      </c>
      <c r="M940" t="str">
        <f t="shared" si="201"/>
        <v/>
      </c>
      <c r="N940" t="e">
        <f t="shared" si="197"/>
        <v>#N/A</v>
      </c>
      <c r="P940">
        <f t="shared" si="202"/>
        <v>2</v>
      </c>
      <c r="Q940" t="str">
        <f t="shared" ca="1" si="203"/>
        <v/>
      </c>
      <c r="R940" t="str">
        <f t="shared" ca="1" si="204"/>
        <v/>
      </c>
      <c r="T940">
        <f t="shared" si="205"/>
        <v>0</v>
      </c>
      <c r="V940">
        <v>2</v>
      </c>
      <c r="W940" t="str">
        <f t="shared" si="195"/>
        <v/>
      </c>
    </row>
    <row r="941" spans="1:23" outlineLevel="2" x14ac:dyDescent="0.3">
      <c r="A941">
        <v>-36.65</v>
      </c>
      <c r="I941" t="str">
        <f t="shared" si="198"/>
        <v/>
      </c>
      <c r="J941" t="str">
        <f t="shared" si="199"/>
        <v/>
      </c>
      <c r="K941" t="e">
        <f t="shared" si="196"/>
        <v>#N/A</v>
      </c>
      <c r="L941">
        <f t="shared" si="200"/>
        <v>-36.65</v>
      </c>
      <c r="M941" t="str">
        <f t="shared" si="201"/>
        <v/>
      </c>
      <c r="N941" t="e">
        <f t="shared" si="197"/>
        <v>#N/A</v>
      </c>
      <c r="P941">
        <f t="shared" si="202"/>
        <v>2</v>
      </c>
      <c r="Q941" t="str">
        <f t="shared" ca="1" si="203"/>
        <v/>
      </c>
      <c r="R941" t="str">
        <f t="shared" ca="1" si="204"/>
        <v/>
      </c>
      <c r="T941">
        <f t="shared" si="205"/>
        <v>0</v>
      </c>
      <c r="V941">
        <v>2</v>
      </c>
      <c r="W941" t="str">
        <f t="shared" si="195"/>
        <v/>
      </c>
    </row>
    <row r="942" spans="1:23" outlineLevel="2" x14ac:dyDescent="0.3">
      <c r="A942">
        <v>-34.869999999999997</v>
      </c>
      <c r="I942" t="str">
        <f t="shared" si="198"/>
        <v/>
      </c>
      <c r="J942" t="str">
        <f t="shared" si="199"/>
        <v/>
      </c>
      <c r="K942" t="e">
        <f t="shared" si="196"/>
        <v>#N/A</v>
      </c>
      <c r="L942">
        <f t="shared" si="200"/>
        <v>-34.869999999999997</v>
      </c>
      <c r="M942" t="str">
        <f t="shared" si="201"/>
        <v/>
      </c>
      <c r="N942" t="e">
        <f t="shared" si="197"/>
        <v>#N/A</v>
      </c>
      <c r="P942">
        <f t="shared" si="202"/>
        <v>2</v>
      </c>
      <c r="Q942" t="str">
        <f t="shared" ca="1" si="203"/>
        <v/>
      </c>
      <c r="R942" t="str">
        <f t="shared" ca="1" si="204"/>
        <v/>
      </c>
      <c r="T942">
        <f t="shared" si="205"/>
        <v>0</v>
      </c>
      <c r="V942">
        <v>2</v>
      </c>
      <c r="W942" t="str">
        <f t="shared" si="195"/>
        <v/>
      </c>
    </row>
    <row r="943" spans="1:23" outlineLevel="2" x14ac:dyDescent="0.3">
      <c r="A943">
        <v>-32.340000000000003</v>
      </c>
      <c r="I943" t="str">
        <f t="shared" si="198"/>
        <v/>
      </c>
      <c r="J943" t="str">
        <f t="shared" si="199"/>
        <v/>
      </c>
      <c r="K943" t="e">
        <f t="shared" si="196"/>
        <v>#N/A</v>
      </c>
      <c r="L943">
        <f t="shared" si="200"/>
        <v>-32.340000000000003</v>
      </c>
      <c r="M943" t="str">
        <f t="shared" si="201"/>
        <v/>
      </c>
      <c r="N943" t="e">
        <f t="shared" si="197"/>
        <v>#N/A</v>
      </c>
      <c r="P943">
        <f t="shared" si="202"/>
        <v>2</v>
      </c>
      <c r="Q943" t="str">
        <f t="shared" ca="1" si="203"/>
        <v/>
      </c>
      <c r="R943" t="str">
        <f t="shared" ca="1" si="204"/>
        <v/>
      </c>
      <c r="T943">
        <f t="shared" si="205"/>
        <v>0</v>
      </c>
      <c r="V943">
        <v>2</v>
      </c>
      <c r="W943" t="str">
        <f t="shared" si="195"/>
        <v/>
      </c>
    </row>
    <row r="944" spans="1:23" outlineLevel="2" x14ac:dyDescent="0.3">
      <c r="A944">
        <v>-29.29</v>
      </c>
      <c r="I944" t="str">
        <f t="shared" si="198"/>
        <v/>
      </c>
      <c r="J944" t="str">
        <f t="shared" si="199"/>
        <v/>
      </c>
      <c r="K944" t="e">
        <f t="shared" si="196"/>
        <v>#N/A</v>
      </c>
      <c r="L944">
        <f t="shared" si="200"/>
        <v>-29.29</v>
      </c>
      <c r="M944" t="str">
        <f t="shared" si="201"/>
        <v/>
      </c>
      <c r="N944" t="e">
        <f t="shared" si="197"/>
        <v>#N/A</v>
      </c>
      <c r="P944">
        <f t="shared" si="202"/>
        <v>2</v>
      </c>
      <c r="Q944" t="str">
        <f t="shared" ca="1" si="203"/>
        <v/>
      </c>
      <c r="R944" t="str">
        <f t="shared" ca="1" si="204"/>
        <v/>
      </c>
      <c r="T944">
        <f t="shared" si="205"/>
        <v>0</v>
      </c>
      <c r="V944">
        <v>2</v>
      </c>
      <c r="W944" t="str">
        <f t="shared" si="195"/>
        <v/>
      </c>
    </row>
    <row r="945" spans="1:23" outlineLevel="2" x14ac:dyDescent="0.3">
      <c r="A945">
        <v>-27.29</v>
      </c>
      <c r="I945" t="str">
        <f t="shared" si="198"/>
        <v/>
      </c>
      <c r="J945" t="str">
        <f t="shared" si="199"/>
        <v/>
      </c>
      <c r="K945" t="e">
        <f t="shared" si="196"/>
        <v>#N/A</v>
      </c>
      <c r="L945">
        <f t="shared" si="200"/>
        <v>-27.29</v>
      </c>
      <c r="M945" t="str">
        <f t="shared" si="201"/>
        <v/>
      </c>
      <c r="N945" t="e">
        <f t="shared" si="197"/>
        <v>#N/A</v>
      </c>
      <c r="P945">
        <f t="shared" si="202"/>
        <v>2</v>
      </c>
      <c r="Q945" t="str">
        <f t="shared" ca="1" si="203"/>
        <v/>
      </c>
      <c r="R945" t="str">
        <f t="shared" ca="1" si="204"/>
        <v/>
      </c>
      <c r="T945">
        <f t="shared" si="205"/>
        <v>0</v>
      </c>
      <c r="V945">
        <v>2</v>
      </c>
      <c r="W945" t="str">
        <f t="shared" si="195"/>
        <v/>
      </c>
    </row>
    <row r="946" spans="1:23" outlineLevel="2" x14ac:dyDescent="0.3">
      <c r="A946">
        <v>-27.18</v>
      </c>
      <c r="I946" t="str">
        <f t="shared" si="198"/>
        <v/>
      </c>
      <c r="J946" t="str">
        <f t="shared" si="199"/>
        <v/>
      </c>
      <c r="K946" t="e">
        <f t="shared" si="196"/>
        <v>#N/A</v>
      </c>
      <c r="L946">
        <f t="shared" si="200"/>
        <v>-27.18</v>
      </c>
      <c r="M946" t="str">
        <f t="shared" si="201"/>
        <v/>
      </c>
      <c r="N946" t="e">
        <f t="shared" si="197"/>
        <v>#N/A</v>
      </c>
      <c r="P946">
        <f t="shared" si="202"/>
        <v>2</v>
      </c>
      <c r="Q946" t="str">
        <f t="shared" ca="1" si="203"/>
        <v/>
      </c>
      <c r="R946" t="str">
        <f t="shared" ca="1" si="204"/>
        <v/>
      </c>
      <c r="T946">
        <f t="shared" si="205"/>
        <v>0</v>
      </c>
      <c r="V946">
        <v>2</v>
      </c>
      <c r="W946" t="str">
        <f t="shared" si="195"/>
        <v/>
      </c>
    </row>
    <row r="947" spans="1:23" outlineLevel="2" x14ac:dyDescent="0.3">
      <c r="A947">
        <v>-26.74</v>
      </c>
      <c r="I947" t="str">
        <f t="shared" si="198"/>
        <v/>
      </c>
      <c r="J947" t="str">
        <f t="shared" si="199"/>
        <v/>
      </c>
      <c r="K947" t="e">
        <f t="shared" si="196"/>
        <v>#N/A</v>
      </c>
      <c r="L947">
        <f t="shared" si="200"/>
        <v>-26.74</v>
      </c>
      <c r="M947" t="str">
        <f t="shared" si="201"/>
        <v/>
      </c>
      <c r="N947" t="e">
        <f t="shared" si="197"/>
        <v>#N/A</v>
      </c>
      <c r="P947">
        <f t="shared" si="202"/>
        <v>2</v>
      </c>
      <c r="Q947" t="str">
        <f t="shared" ca="1" si="203"/>
        <v/>
      </c>
      <c r="R947" t="str">
        <f t="shared" ca="1" si="204"/>
        <v/>
      </c>
      <c r="T947">
        <f t="shared" si="205"/>
        <v>0</v>
      </c>
      <c r="V947">
        <v>2</v>
      </c>
      <c r="W947" t="str">
        <f t="shared" si="195"/>
        <v/>
      </c>
    </row>
    <row r="948" spans="1:23" outlineLevel="2" x14ac:dyDescent="0.3">
      <c r="A948">
        <v>-25.74</v>
      </c>
      <c r="I948" t="str">
        <f t="shared" si="198"/>
        <v/>
      </c>
      <c r="J948" t="str">
        <f t="shared" si="199"/>
        <v/>
      </c>
      <c r="K948" t="e">
        <f t="shared" si="196"/>
        <v>#N/A</v>
      </c>
      <c r="L948">
        <f t="shared" si="200"/>
        <v>-25.74</v>
      </c>
      <c r="M948" t="str">
        <f t="shared" si="201"/>
        <v/>
      </c>
      <c r="N948" t="e">
        <f t="shared" si="197"/>
        <v>#N/A</v>
      </c>
      <c r="P948">
        <f t="shared" si="202"/>
        <v>2</v>
      </c>
      <c r="Q948" t="str">
        <f t="shared" ca="1" si="203"/>
        <v/>
      </c>
      <c r="R948" t="str">
        <f t="shared" ca="1" si="204"/>
        <v/>
      </c>
      <c r="T948">
        <f t="shared" si="205"/>
        <v>0</v>
      </c>
      <c r="V948">
        <v>2</v>
      </c>
      <c r="W948" t="str">
        <f t="shared" si="195"/>
        <v/>
      </c>
    </row>
    <row r="949" spans="1:23" outlineLevel="2" x14ac:dyDescent="0.3">
      <c r="A949">
        <v>-26.03</v>
      </c>
      <c r="I949" t="str">
        <f t="shared" si="198"/>
        <v/>
      </c>
      <c r="J949" t="str">
        <f t="shared" si="199"/>
        <v/>
      </c>
      <c r="K949" t="e">
        <f t="shared" si="196"/>
        <v>#N/A</v>
      </c>
      <c r="L949">
        <f t="shared" si="200"/>
        <v>-26.03</v>
      </c>
      <c r="M949" t="str">
        <f t="shared" si="201"/>
        <v/>
      </c>
      <c r="N949" t="e">
        <f t="shared" si="197"/>
        <v>#N/A</v>
      </c>
      <c r="P949">
        <f t="shared" si="202"/>
        <v>2</v>
      </c>
      <c r="Q949" t="str">
        <f t="shared" ca="1" si="203"/>
        <v/>
      </c>
      <c r="R949" t="str">
        <f t="shared" ca="1" si="204"/>
        <v/>
      </c>
      <c r="T949">
        <f t="shared" si="205"/>
        <v>0</v>
      </c>
      <c r="V949">
        <v>2</v>
      </c>
      <c r="W949" t="str">
        <f t="shared" si="195"/>
        <v/>
      </c>
    </row>
    <row r="950" spans="1:23" outlineLevel="2" x14ac:dyDescent="0.3">
      <c r="A950">
        <v>-27.27</v>
      </c>
      <c r="I950" t="str">
        <f t="shared" si="198"/>
        <v/>
      </c>
      <c r="J950" t="str">
        <f t="shared" si="199"/>
        <v/>
      </c>
      <c r="K950" t="e">
        <f t="shared" si="196"/>
        <v>#N/A</v>
      </c>
      <c r="L950">
        <f t="shared" si="200"/>
        <v>-27.27</v>
      </c>
      <c r="M950" t="str">
        <f t="shared" si="201"/>
        <v/>
      </c>
      <c r="N950" t="e">
        <f t="shared" si="197"/>
        <v>#N/A</v>
      </c>
      <c r="P950">
        <f t="shared" si="202"/>
        <v>2</v>
      </c>
      <c r="Q950" t="str">
        <f t="shared" ca="1" si="203"/>
        <v/>
      </c>
      <c r="R950" t="str">
        <f t="shared" ca="1" si="204"/>
        <v/>
      </c>
      <c r="T950">
        <f t="shared" si="205"/>
        <v>0</v>
      </c>
      <c r="V950">
        <v>2</v>
      </c>
      <c r="W950" t="str">
        <f t="shared" si="195"/>
        <v/>
      </c>
    </row>
    <row r="951" spans="1:23" outlineLevel="2" x14ac:dyDescent="0.3">
      <c r="A951">
        <v>-29.96</v>
      </c>
      <c r="I951" t="str">
        <f t="shared" si="198"/>
        <v/>
      </c>
      <c r="J951" t="str">
        <f t="shared" si="199"/>
        <v/>
      </c>
      <c r="K951" t="e">
        <f t="shared" si="196"/>
        <v>#N/A</v>
      </c>
      <c r="L951">
        <f t="shared" si="200"/>
        <v>-29.96</v>
      </c>
      <c r="M951" t="str">
        <f t="shared" si="201"/>
        <v/>
      </c>
      <c r="N951" t="e">
        <f t="shared" si="197"/>
        <v>#N/A</v>
      </c>
      <c r="P951">
        <f t="shared" si="202"/>
        <v>2</v>
      </c>
      <c r="Q951" t="str">
        <f t="shared" ca="1" si="203"/>
        <v/>
      </c>
      <c r="R951" t="str">
        <f t="shared" ca="1" si="204"/>
        <v/>
      </c>
      <c r="T951">
        <f t="shared" si="205"/>
        <v>0</v>
      </c>
      <c r="V951">
        <v>2</v>
      </c>
      <c r="W951" t="str">
        <f t="shared" si="195"/>
        <v/>
      </c>
    </row>
    <row r="952" spans="1:23" outlineLevel="2" x14ac:dyDescent="0.3">
      <c r="A952">
        <v>-34.01</v>
      </c>
      <c r="I952" t="str">
        <f t="shared" si="198"/>
        <v/>
      </c>
      <c r="J952" t="str">
        <f t="shared" si="199"/>
        <v/>
      </c>
      <c r="K952" t="e">
        <f t="shared" si="196"/>
        <v>#N/A</v>
      </c>
      <c r="L952">
        <f t="shared" si="200"/>
        <v>-34.01</v>
      </c>
      <c r="M952" t="str">
        <f t="shared" si="201"/>
        <v/>
      </c>
      <c r="N952" t="e">
        <f t="shared" si="197"/>
        <v>#N/A</v>
      </c>
      <c r="P952">
        <f t="shared" si="202"/>
        <v>2</v>
      </c>
      <c r="Q952" t="str">
        <f t="shared" ca="1" si="203"/>
        <v/>
      </c>
      <c r="R952" t="str">
        <f t="shared" ca="1" si="204"/>
        <v/>
      </c>
      <c r="T952">
        <f t="shared" si="205"/>
        <v>0</v>
      </c>
      <c r="V952">
        <v>2</v>
      </c>
      <c r="W952" t="str">
        <f t="shared" si="195"/>
        <v/>
      </c>
    </row>
    <row r="953" spans="1:23" outlineLevel="2" x14ac:dyDescent="0.3">
      <c r="A953">
        <v>-35.69</v>
      </c>
      <c r="I953" t="str">
        <f t="shared" si="198"/>
        <v/>
      </c>
      <c r="J953" t="str">
        <f t="shared" si="199"/>
        <v/>
      </c>
      <c r="K953" t="e">
        <f t="shared" si="196"/>
        <v>#N/A</v>
      </c>
      <c r="L953">
        <f t="shared" si="200"/>
        <v>-35.69</v>
      </c>
      <c r="M953" t="str">
        <f t="shared" si="201"/>
        <v/>
      </c>
      <c r="N953" t="e">
        <f t="shared" si="197"/>
        <v>#N/A</v>
      </c>
      <c r="P953">
        <f t="shared" si="202"/>
        <v>2</v>
      </c>
      <c r="Q953" t="str">
        <f t="shared" ca="1" si="203"/>
        <v/>
      </c>
      <c r="R953" t="str">
        <f t="shared" ca="1" si="204"/>
        <v/>
      </c>
      <c r="T953">
        <f t="shared" si="205"/>
        <v>0</v>
      </c>
      <c r="V953">
        <v>2</v>
      </c>
      <c r="W953" t="str">
        <f t="shared" si="195"/>
        <v/>
      </c>
    </row>
    <row r="954" spans="1:23" outlineLevel="2" x14ac:dyDescent="0.3">
      <c r="A954">
        <v>-33.4</v>
      </c>
      <c r="I954" t="str">
        <f t="shared" si="198"/>
        <v/>
      </c>
      <c r="J954" t="str">
        <f t="shared" si="199"/>
        <v/>
      </c>
      <c r="K954" t="e">
        <f t="shared" si="196"/>
        <v>#N/A</v>
      </c>
      <c r="L954">
        <f t="shared" si="200"/>
        <v>-33.4</v>
      </c>
      <c r="M954" t="str">
        <f t="shared" si="201"/>
        <v/>
      </c>
      <c r="N954" t="e">
        <f t="shared" si="197"/>
        <v>#N/A</v>
      </c>
      <c r="P954">
        <f t="shared" si="202"/>
        <v>2</v>
      </c>
      <c r="Q954" t="str">
        <f t="shared" ca="1" si="203"/>
        <v/>
      </c>
      <c r="R954" t="str">
        <f t="shared" ca="1" si="204"/>
        <v/>
      </c>
      <c r="T954">
        <f t="shared" si="205"/>
        <v>0</v>
      </c>
      <c r="V954">
        <v>2</v>
      </c>
      <c r="W954" t="str">
        <f t="shared" si="195"/>
        <v/>
      </c>
    </row>
    <row r="955" spans="1:23" outlineLevel="2" x14ac:dyDescent="0.3">
      <c r="A955">
        <v>-29.61</v>
      </c>
      <c r="I955" t="str">
        <f t="shared" si="198"/>
        <v/>
      </c>
      <c r="J955" t="str">
        <f t="shared" si="199"/>
        <v/>
      </c>
      <c r="K955" t="e">
        <f t="shared" si="196"/>
        <v>#N/A</v>
      </c>
      <c r="L955">
        <f t="shared" si="200"/>
        <v>-29.61</v>
      </c>
      <c r="M955" t="str">
        <f t="shared" si="201"/>
        <v/>
      </c>
      <c r="N955" t="e">
        <f t="shared" si="197"/>
        <v>#N/A</v>
      </c>
      <c r="P955">
        <f t="shared" si="202"/>
        <v>2</v>
      </c>
      <c r="Q955" t="str">
        <f t="shared" ca="1" si="203"/>
        <v/>
      </c>
      <c r="R955" t="str">
        <f t="shared" ca="1" si="204"/>
        <v/>
      </c>
      <c r="T955">
        <f t="shared" si="205"/>
        <v>0</v>
      </c>
      <c r="V955">
        <v>2</v>
      </c>
      <c r="W955" t="str">
        <f t="shared" si="195"/>
        <v/>
      </c>
    </row>
    <row r="956" spans="1:23" outlineLevel="2" x14ac:dyDescent="0.3">
      <c r="A956">
        <v>-24.5</v>
      </c>
      <c r="I956" t="str">
        <f t="shared" si="198"/>
        <v/>
      </c>
      <c r="J956" t="str">
        <f t="shared" si="199"/>
        <v/>
      </c>
      <c r="K956" t="e">
        <f t="shared" si="196"/>
        <v>#N/A</v>
      </c>
      <c r="L956">
        <f t="shared" si="200"/>
        <v>-24.5</v>
      </c>
      <c r="M956" t="str">
        <f t="shared" si="201"/>
        <v/>
      </c>
      <c r="N956" t="e">
        <f t="shared" si="197"/>
        <v>#N/A</v>
      </c>
      <c r="P956">
        <f t="shared" si="202"/>
        <v>2</v>
      </c>
      <c r="Q956" t="str">
        <f t="shared" ca="1" si="203"/>
        <v/>
      </c>
      <c r="R956" t="str">
        <f t="shared" ca="1" si="204"/>
        <v/>
      </c>
      <c r="T956">
        <f t="shared" si="205"/>
        <v>0</v>
      </c>
      <c r="V956">
        <v>2</v>
      </c>
      <c r="W956" t="str">
        <f t="shared" si="195"/>
        <v/>
      </c>
    </row>
    <row r="957" spans="1:23" outlineLevel="2" x14ac:dyDescent="0.3">
      <c r="A957">
        <v>-18.29</v>
      </c>
      <c r="I957" t="str">
        <f t="shared" si="198"/>
        <v/>
      </c>
      <c r="J957" t="str">
        <f>IF(AND(I958&gt;I957,I958&gt;I960,I958&gt;$D$5),I958,"")</f>
        <v/>
      </c>
      <c r="K957" t="e">
        <f t="shared" si="196"/>
        <v>#N/A</v>
      </c>
      <c r="L957">
        <f t="shared" si="200"/>
        <v>-18.29</v>
      </c>
      <c r="M957" t="str">
        <f>IF(AND(L958&lt;L957,L958&lt;L960,L958&lt;$G$5),L958,"")</f>
        <v/>
      </c>
      <c r="N957" t="e">
        <f t="shared" si="197"/>
        <v>#N/A</v>
      </c>
      <c r="P957">
        <f t="shared" si="202"/>
        <v>2</v>
      </c>
      <c r="Q957" t="str">
        <f t="shared" ca="1" si="203"/>
        <v/>
      </c>
      <c r="R957" t="str">
        <f t="shared" ca="1" si="204"/>
        <v/>
      </c>
      <c r="T957">
        <f t="shared" si="205"/>
        <v>0</v>
      </c>
      <c r="V957">
        <v>2</v>
      </c>
      <c r="W957" t="str">
        <f t="shared" si="195"/>
        <v/>
      </c>
    </row>
    <row r="958" spans="1:23" outlineLevel="2" x14ac:dyDescent="0.3">
      <c r="A958">
        <v>-13.34</v>
      </c>
      <c r="I958" t="str">
        <f t="shared" si="198"/>
        <v/>
      </c>
      <c r="J958" t="str">
        <f>IF(AND(I960&gt;I958,I960&gt;I961,I960&gt;$D$5),I960,"")</f>
        <v/>
      </c>
      <c r="K958" t="e">
        <f t="shared" si="196"/>
        <v>#N/A</v>
      </c>
      <c r="L958">
        <f t="shared" si="200"/>
        <v>-13.34</v>
      </c>
      <c r="M958" t="str">
        <f>IF(AND(L960&lt;L958,L960&lt;L961,L960&lt;$G$5),L960,"")</f>
        <v/>
      </c>
      <c r="N958" t="e">
        <f t="shared" si="197"/>
        <v>#N/A</v>
      </c>
      <c r="P958">
        <f t="shared" si="202"/>
        <v>2</v>
      </c>
      <c r="Q958">
        <f ca="1">IF(AND(A960&gt;=0,A958&lt;0),CELL("ROW",A960),IF(AND(A960&lt;0,A958&gt;=0),CELL("ROW",A960),""))</f>
        <v>960</v>
      </c>
      <c r="R958" t="str">
        <f t="shared" ca="1" si="204"/>
        <v>960</v>
      </c>
      <c r="T958">
        <f>S960-S958</f>
        <v>0</v>
      </c>
      <c r="V958">
        <v>2</v>
      </c>
      <c r="W958" t="str">
        <f t="shared" si="195"/>
        <v/>
      </c>
    </row>
    <row r="959" spans="1:23" outlineLevel="1" x14ac:dyDescent="0.3">
      <c r="O959" s="1" t="s">
        <v>27</v>
      </c>
      <c r="P959">
        <f>SUBTOTAL(3,P929:P958)</f>
        <v>30</v>
      </c>
      <c r="V959">
        <v>30</v>
      </c>
      <c r="W959" t="str">
        <f t="shared" si="195"/>
        <v/>
      </c>
    </row>
    <row r="960" spans="1:23" outlineLevel="2" x14ac:dyDescent="0.3">
      <c r="A960">
        <v>13.16</v>
      </c>
      <c r="I960">
        <f t="shared" si="198"/>
        <v>13.16</v>
      </c>
      <c r="J960" t="str">
        <f t="shared" si="199"/>
        <v/>
      </c>
      <c r="K960" t="e">
        <f t="shared" ref="K960:K1003" si="206">MATCH(J960,$A$1:$A$10041,0)</f>
        <v>#N/A</v>
      </c>
      <c r="L960" t="str">
        <f t="shared" si="200"/>
        <v/>
      </c>
      <c r="M960" t="str">
        <f t="shared" si="201"/>
        <v/>
      </c>
      <c r="N960" t="e">
        <f t="shared" ref="N960:N1003" si="207">MATCH(M960,$A$1:$A$10041,0)</f>
        <v>#N/A</v>
      </c>
      <c r="P960">
        <f t="shared" si="202"/>
        <v>1</v>
      </c>
      <c r="Q960" t="str">
        <f t="shared" ca="1" si="203"/>
        <v/>
      </c>
      <c r="R960" t="str">
        <f t="shared" ca="1" si="204"/>
        <v/>
      </c>
      <c r="T960">
        <f t="shared" si="205"/>
        <v>0</v>
      </c>
      <c r="V960">
        <v>1</v>
      </c>
      <c r="W960" t="str">
        <f t="shared" si="195"/>
        <v/>
      </c>
    </row>
    <row r="961" spans="1:23" outlineLevel="2" x14ac:dyDescent="0.3">
      <c r="A961">
        <v>16.77</v>
      </c>
      <c r="I961">
        <f t="shared" si="198"/>
        <v>16.77</v>
      </c>
      <c r="J961" t="str">
        <f t="shared" si="199"/>
        <v/>
      </c>
      <c r="K961" t="e">
        <f t="shared" si="206"/>
        <v>#N/A</v>
      </c>
      <c r="L961" t="str">
        <f t="shared" si="200"/>
        <v/>
      </c>
      <c r="M961" t="str">
        <f t="shared" si="201"/>
        <v/>
      </c>
      <c r="N961" t="e">
        <f t="shared" si="207"/>
        <v>#N/A</v>
      </c>
      <c r="P961">
        <f t="shared" si="202"/>
        <v>1</v>
      </c>
      <c r="Q961" t="str">
        <f t="shared" ca="1" si="203"/>
        <v/>
      </c>
      <c r="R961" t="str">
        <f t="shared" ca="1" si="204"/>
        <v/>
      </c>
      <c r="T961">
        <f t="shared" si="205"/>
        <v>0</v>
      </c>
      <c r="V961">
        <v>1</v>
      </c>
      <c r="W961" t="str">
        <f t="shared" si="195"/>
        <v/>
      </c>
    </row>
    <row r="962" spans="1:23" outlineLevel="2" x14ac:dyDescent="0.3">
      <c r="A962">
        <v>20.079999999999998</v>
      </c>
      <c r="I962">
        <f t="shared" si="198"/>
        <v>20.079999999999998</v>
      </c>
      <c r="J962" t="str">
        <f t="shared" si="199"/>
        <v/>
      </c>
      <c r="K962" t="e">
        <f t="shared" si="206"/>
        <v>#N/A</v>
      </c>
      <c r="L962" t="str">
        <f t="shared" si="200"/>
        <v/>
      </c>
      <c r="M962" t="str">
        <f t="shared" si="201"/>
        <v/>
      </c>
      <c r="N962" t="e">
        <f t="shared" si="207"/>
        <v>#N/A</v>
      </c>
      <c r="P962">
        <f t="shared" si="202"/>
        <v>1</v>
      </c>
      <c r="Q962" t="str">
        <f t="shared" ca="1" si="203"/>
        <v/>
      </c>
      <c r="R962" t="str">
        <f t="shared" ca="1" si="204"/>
        <v/>
      </c>
      <c r="T962">
        <f t="shared" si="205"/>
        <v>0</v>
      </c>
      <c r="V962">
        <v>1</v>
      </c>
      <c r="W962" t="str">
        <f t="shared" si="195"/>
        <v/>
      </c>
    </row>
    <row r="963" spans="1:23" outlineLevel="2" x14ac:dyDescent="0.3">
      <c r="A963">
        <v>23.75</v>
      </c>
      <c r="I963">
        <f t="shared" si="198"/>
        <v>23.75</v>
      </c>
      <c r="J963" t="str">
        <f t="shared" si="199"/>
        <v/>
      </c>
      <c r="K963" t="e">
        <f t="shared" si="206"/>
        <v>#N/A</v>
      </c>
      <c r="L963" t="str">
        <f t="shared" si="200"/>
        <v/>
      </c>
      <c r="M963" t="str">
        <f t="shared" si="201"/>
        <v/>
      </c>
      <c r="N963" t="e">
        <f t="shared" si="207"/>
        <v>#N/A</v>
      </c>
      <c r="P963">
        <f t="shared" si="202"/>
        <v>1</v>
      </c>
      <c r="Q963" t="str">
        <f t="shared" ca="1" si="203"/>
        <v/>
      </c>
      <c r="R963" t="str">
        <f t="shared" ca="1" si="204"/>
        <v/>
      </c>
      <c r="T963">
        <f t="shared" si="205"/>
        <v>0</v>
      </c>
      <c r="V963">
        <v>1</v>
      </c>
      <c r="W963" t="str">
        <f t="shared" ref="W963:W1026" si="208">IF(AND(V963&gt;2,V963&lt;20),V963,"")</f>
        <v/>
      </c>
    </row>
    <row r="964" spans="1:23" outlineLevel="2" x14ac:dyDescent="0.3">
      <c r="A964">
        <v>28.37</v>
      </c>
      <c r="I964">
        <f t="shared" si="198"/>
        <v>28.37</v>
      </c>
      <c r="J964" t="str">
        <f t="shared" si="199"/>
        <v/>
      </c>
      <c r="K964" t="e">
        <f t="shared" si="206"/>
        <v>#N/A</v>
      </c>
      <c r="L964" t="str">
        <f t="shared" si="200"/>
        <v/>
      </c>
      <c r="M964" t="str">
        <f t="shared" si="201"/>
        <v/>
      </c>
      <c r="N964" t="e">
        <f t="shared" si="207"/>
        <v>#N/A</v>
      </c>
      <c r="P964">
        <f t="shared" si="202"/>
        <v>1</v>
      </c>
      <c r="Q964" t="str">
        <f t="shared" ca="1" si="203"/>
        <v/>
      </c>
      <c r="R964" t="str">
        <f t="shared" ca="1" si="204"/>
        <v/>
      </c>
      <c r="T964">
        <f t="shared" si="205"/>
        <v>0</v>
      </c>
      <c r="V964">
        <v>1</v>
      </c>
      <c r="W964" t="str">
        <f t="shared" si="208"/>
        <v/>
      </c>
    </row>
    <row r="965" spans="1:23" outlineLevel="2" x14ac:dyDescent="0.3">
      <c r="A965">
        <v>33.630000000000003</v>
      </c>
      <c r="I965">
        <f t="shared" si="198"/>
        <v>33.630000000000003</v>
      </c>
      <c r="J965" t="str">
        <f t="shared" si="199"/>
        <v/>
      </c>
      <c r="K965" t="e">
        <f t="shared" si="206"/>
        <v>#N/A</v>
      </c>
      <c r="L965" t="str">
        <f t="shared" si="200"/>
        <v/>
      </c>
      <c r="M965" t="str">
        <f t="shared" si="201"/>
        <v/>
      </c>
      <c r="N965" t="e">
        <f t="shared" si="207"/>
        <v>#N/A</v>
      </c>
      <c r="P965">
        <f t="shared" si="202"/>
        <v>1</v>
      </c>
      <c r="Q965" t="str">
        <f t="shared" ca="1" si="203"/>
        <v/>
      </c>
      <c r="R965" t="str">
        <f t="shared" ca="1" si="204"/>
        <v/>
      </c>
      <c r="T965">
        <f t="shared" si="205"/>
        <v>0</v>
      </c>
      <c r="V965">
        <v>1</v>
      </c>
      <c r="W965" t="str">
        <f t="shared" si="208"/>
        <v/>
      </c>
    </row>
    <row r="966" spans="1:23" outlineLevel="2" x14ac:dyDescent="0.3">
      <c r="A966">
        <v>37.25</v>
      </c>
      <c r="I966">
        <f t="shared" si="198"/>
        <v>37.25</v>
      </c>
      <c r="J966" t="str">
        <f t="shared" si="199"/>
        <v/>
      </c>
      <c r="K966" t="e">
        <f t="shared" si="206"/>
        <v>#N/A</v>
      </c>
      <c r="L966" t="str">
        <f t="shared" si="200"/>
        <v/>
      </c>
      <c r="M966" t="str">
        <f t="shared" si="201"/>
        <v/>
      </c>
      <c r="N966" t="e">
        <f t="shared" si="207"/>
        <v>#N/A</v>
      </c>
      <c r="P966">
        <f t="shared" si="202"/>
        <v>1</v>
      </c>
      <c r="Q966" t="str">
        <f t="shared" ca="1" si="203"/>
        <v/>
      </c>
      <c r="R966" t="str">
        <f t="shared" ca="1" si="204"/>
        <v/>
      </c>
      <c r="T966">
        <f t="shared" si="205"/>
        <v>0</v>
      </c>
      <c r="V966">
        <v>1</v>
      </c>
      <c r="W966" t="str">
        <f t="shared" si="208"/>
        <v/>
      </c>
    </row>
    <row r="967" spans="1:23" outlineLevel="2" x14ac:dyDescent="0.3">
      <c r="A967">
        <v>38.9</v>
      </c>
      <c r="I967">
        <f t="shared" si="198"/>
        <v>38.9</v>
      </c>
      <c r="J967" t="str">
        <f t="shared" si="199"/>
        <v/>
      </c>
      <c r="K967" t="e">
        <f t="shared" si="206"/>
        <v>#N/A</v>
      </c>
      <c r="L967" t="str">
        <f t="shared" si="200"/>
        <v/>
      </c>
      <c r="M967" t="str">
        <f t="shared" si="201"/>
        <v/>
      </c>
      <c r="N967" t="e">
        <f t="shared" si="207"/>
        <v>#N/A</v>
      </c>
      <c r="P967">
        <f t="shared" si="202"/>
        <v>1</v>
      </c>
      <c r="Q967" t="str">
        <f t="shared" ca="1" si="203"/>
        <v/>
      </c>
      <c r="R967" t="str">
        <f t="shared" ca="1" si="204"/>
        <v/>
      </c>
      <c r="T967">
        <f t="shared" si="205"/>
        <v>0</v>
      </c>
      <c r="V967">
        <v>1</v>
      </c>
      <c r="W967" t="str">
        <f t="shared" si="208"/>
        <v/>
      </c>
    </row>
    <row r="968" spans="1:23" outlineLevel="2" x14ac:dyDescent="0.3">
      <c r="A968">
        <v>40.04</v>
      </c>
      <c r="I968">
        <f t="shared" si="198"/>
        <v>40.04</v>
      </c>
      <c r="J968" t="str">
        <f t="shared" si="199"/>
        <v/>
      </c>
      <c r="K968" t="e">
        <f t="shared" si="206"/>
        <v>#N/A</v>
      </c>
      <c r="L968" t="str">
        <f t="shared" si="200"/>
        <v/>
      </c>
      <c r="M968" t="str">
        <f t="shared" si="201"/>
        <v/>
      </c>
      <c r="N968" t="e">
        <f t="shared" si="207"/>
        <v>#N/A</v>
      </c>
      <c r="P968">
        <f t="shared" si="202"/>
        <v>1</v>
      </c>
      <c r="Q968" t="str">
        <f t="shared" ca="1" si="203"/>
        <v/>
      </c>
      <c r="R968" t="str">
        <f t="shared" ca="1" si="204"/>
        <v/>
      </c>
      <c r="T968">
        <f t="shared" si="205"/>
        <v>0</v>
      </c>
      <c r="V968">
        <v>1</v>
      </c>
      <c r="W968" t="str">
        <f t="shared" si="208"/>
        <v/>
      </c>
    </row>
    <row r="969" spans="1:23" outlineLevel="2" x14ac:dyDescent="0.3">
      <c r="A969">
        <v>40.58</v>
      </c>
      <c r="I969">
        <f t="shared" si="198"/>
        <v>40.58</v>
      </c>
      <c r="J969" t="str">
        <f t="shared" si="199"/>
        <v/>
      </c>
      <c r="K969" t="e">
        <f t="shared" si="206"/>
        <v>#N/A</v>
      </c>
      <c r="L969" t="str">
        <f t="shared" si="200"/>
        <v/>
      </c>
      <c r="M969" t="str">
        <f t="shared" si="201"/>
        <v/>
      </c>
      <c r="N969" t="e">
        <f t="shared" si="207"/>
        <v>#N/A</v>
      </c>
      <c r="P969">
        <f t="shared" si="202"/>
        <v>1</v>
      </c>
      <c r="Q969" t="str">
        <f t="shared" ca="1" si="203"/>
        <v/>
      </c>
      <c r="R969" t="str">
        <f t="shared" ca="1" si="204"/>
        <v/>
      </c>
      <c r="T969">
        <f t="shared" si="205"/>
        <v>0</v>
      </c>
      <c r="V969">
        <v>1</v>
      </c>
      <c r="W969" t="str">
        <f t="shared" si="208"/>
        <v/>
      </c>
    </row>
    <row r="970" spans="1:23" outlineLevel="2" x14ac:dyDescent="0.3">
      <c r="A970">
        <v>40.68</v>
      </c>
      <c r="I970">
        <f t="shared" si="198"/>
        <v>40.68</v>
      </c>
      <c r="J970" t="str">
        <f t="shared" si="199"/>
        <v/>
      </c>
      <c r="K970" t="e">
        <f t="shared" si="206"/>
        <v>#N/A</v>
      </c>
      <c r="L970" t="str">
        <f t="shared" si="200"/>
        <v/>
      </c>
      <c r="M970" t="str">
        <f t="shared" si="201"/>
        <v/>
      </c>
      <c r="N970" t="e">
        <f t="shared" si="207"/>
        <v>#N/A</v>
      </c>
      <c r="P970">
        <f t="shared" si="202"/>
        <v>1</v>
      </c>
      <c r="Q970" t="str">
        <f t="shared" ca="1" si="203"/>
        <v/>
      </c>
      <c r="R970" t="str">
        <f t="shared" ca="1" si="204"/>
        <v/>
      </c>
      <c r="T970">
        <f t="shared" si="205"/>
        <v>0</v>
      </c>
      <c r="V970">
        <v>1</v>
      </c>
      <c r="W970" t="str">
        <f t="shared" si="208"/>
        <v/>
      </c>
    </row>
    <row r="971" spans="1:23" outlineLevel="2" x14ac:dyDescent="0.3">
      <c r="A971">
        <v>42.1</v>
      </c>
      <c r="I971">
        <f t="shared" si="198"/>
        <v>42.1</v>
      </c>
      <c r="J971" t="str">
        <f t="shared" si="199"/>
        <v/>
      </c>
      <c r="K971" t="e">
        <f t="shared" si="206"/>
        <v>#N/A</v>
      </c>
      <c r="L971" t="str">
        <f t="shared" si="200"/>
        <v/>
      </c>
      <c r="M971" t="str">
        <f t="shared" si="201"/>
        <v/>
      </c>
      <c r="N971" t="e">
        <f t="shared" si="207"/>
        <v>#N/A</v>
      </c>
      <c r="P971">
        <f t="shared" si="202"/>
        <v>1</v>
      </c>
      <c r="Q971" t="str">
        <f t="shared" ca="1" si="203"/>
        <v/>
      </c>
      <c r="R971" t="str">
        <f t="shared" ca="1" si="204"/>
        <v/>
      </c>
      <c r="T971">
        <f t="shared" si="205"/>
        <v>0</v>
      </c>
      <c r="V971">
        <v>1</v>
      </c>
      <c r="W971" t="str">
        <f t="shared" si="208"/>
        <v/>
      </c>
    </row>
    <row r="972" spans="1:23" outlineLevel="2" x14ac:dyDescent="0.3">
      <c r="A972">
        <v>44.98</v>
      </c>
      <c r="I972">
        <f t="shared" si="198"/>
        <v>44.98</v>
      </c>
      <c r="J972" t="str">
        <f t="shared" si="199"/>
        <v/>
      </c>
      <c r="K972" t="e">
        <f t="shared" si="206"/>
        <v>#N/A</v>
      </c>
      <c r="L972" t="str">
        <f t="shared" si="200"/>
        <v/>
      </c>
      <c r="M972" t="str">
        <f t="shared" si="201"/>
        <v/>
      </c>
      <c r="N972" t="e">
        <f t="shared" si="207"/>
        <v>#N/A</v>
      </c>
      <c r="P972">
        <f t="shared" si="202"/>
        <v>1</v>
      </c>
      <c r="Q972" t="str">
        <f t="shared" ca="1" si="203"/>
        <v/>
      </c>
      <c r="R972" t="str">
        <f t="shared" ca="1" si="204"/>
        <v/>
      </c>
      <c r="T972">
        <f t="shared" si="205"/>
        <v>0</v>
      </c>
      <c r="V972">
        <v>1</v>
      </c>
      <c r="W972" t="str">
        <f t="shared" si="208"/>
        <v/>
      </c>
    </row>
    <row r="973" spans="1:23" outlineLevel="2" x14ac:dyDescent="0.3">
      <c r="A973">
        <v>48.74</v>
      </c>
      <c r="I973">
        <f t="shared" si="198"/>
        <v>48.74</v>
      </c>
      <c r="J973" t="str">
        <f t="shared" si="199"/>
        <v/>
      </c>
      <c r="K973" t="e">
        <f t="shared" si="206"/>
        <v>#N/A</v>
      </c>
      <c r="L973" t="str">
        <f t="shared" si="200"/>
        <v/>
      </c>
      <c r="M973" t="str">
        <f t="shared" si="201"/>
        <v/>
      </c>
      <c r="N973" t="e">
        <f t="shared" si="207"/>
        <v>#N/A</v>
      </c>
      <c r="P973">
        <f t="shared" si="202"/>
        <v>1</v>
      </c>
      <c r="Q973" t="str">
        <f t="shared" ca="1" si="203"/>
        <v/>
      </c>
      <c r="R973" t="str">
        <f t="shared" ca="1" si="204"/>
        <v/>
      </c>
      <c r="T973">
        <f t="shared" si="205"/>
        <v>0</v>
      </c>
      <c r="V973">
        <v>1</v>
      </c>
      <c r="W973" t="str">
        <f t="shared" si="208"/>
        <v/>
      </c>
    </row>
    <row r="974" spans="1:23" outlineLevel="2" x14ac:dyDescent="0.3">
      <c r="A974">
        <v>52.44</v>
      </c>
      <c r="I974">
        <f t="shared" si="198"/>
        <v>52.44</v>
      </c>
      <c r="J974" t="str">
        <f t="shared" si="199"/>
        <v/>
      </c>
      <c r="K974" t="e">
        <f t="shared" si="206"/>
        <v>#N/A</v>
      </c>
      <c r="L974" t="str">
        <f t="shared" si="200"/>
        <v/>
      </c>
      <c r="M974" t="str">
        <f t="shared" si="201"/>
        <v/>
      </c>
      <c r="N974" t="e">
        <f t="shared" si="207"/>
        <v>#N/A</v>
      </c>
      <c r="P974">
        <f t="shared" si="202"/>
        <v>1</v>
      </c>
      <c r="Q974" t="str">
        <f t="shared" ca="1" si="203"/>
        <v/>
      </c>
      <c r="R974" t="str">
        <f t="shared" ca="1" si="204"/>
        <v/>
      </c>
      <c r="T974">
        <f t="shared" si="205"/>
        <v>0</v>
      </c>
      <c r="V974">
        <v>1</v>
      </c>
      <c r="W974" t="str">
        <f t="shared" si="208"/>
        <v/>
      </c>
    </row>
    <row r="975" spans="1:23" outlineLevel="2" x14ac:dyDescent="0.3">
      <c r="A975">
        <v>51.87</v>
      </c>
      <c r="I975">
        <f t="shared" si="198"/>
        <v>51.87</v>
      </c>
      <c r="J975" t="str">
        <f t="shared" si="199"/>
        <v/>
      </c>
      <c r="K975" t="e">
        <f t="shared" si="206"/>
        <v>#N/A</v>
      </c>
      <c r="L975" t="str">
        <f t="shared" si="200"/>
        <v/>
      </c>
      <c r="M975" t="str">
        <f t="shared" si="201"/>
        <v/>
      </c>
      <c r="N975" t="e">
        <f t="shared" si="207"/>
        <v>#N/A</v>
      </c>
      <c r="P975">
        <f t="shared" si="202"/>
        <v>1</v>
      </c>
      <c r="Q975" t="str">
        <f t="shared" ca="1" si="203"/>
        <v/>
      </c>
      <c r="R975" t="str">
        <f t="shared" ca="1" si="204"/>
        <v/>
      </c>
      <c r="T975">
        <f t="shared" si="205"/>
        <v>0</v>
      </c>
      <c r="V975">
        <v>1</v>
      </c>
      <c r="W975" t="str">
        <f t="shared" si="208"/>
        <v/>
      </c>
    </row>
    <row r="976" spans="1:23" outlineLevel="2" x14ac:dyDescent="0.3">
      <c r="A976">
        <v>45.29</v>
      </c>
      <c r="I976">
        <f t="shared" si="198"/>
        <v>45.29</v>
      </c>
      <c r="J976" t="str">
        <f t="shared" si="199"/>
        <v/>
      </c>
      <c r="K976" t="e">
        <f t="shared" si="206"/>
        <v>#N/A</v>
      </c>
      <c r="L976" t="str">
        <f t="shared" si="200"/>
        <v/>
      </c>
      <c r="M976" t="str">
        <f t="shared" si="201"/>
        <v/>
      </c>
      <c r="N976" t="e">
        <f t="shared" si="207"/>
        <v>#N/A</v>
      </c>
      <c r="P976">
        <f t="shared" si="202"/>
        <v>1</v>
      </c>
      <c r="Q976" t="str">
        <f t="shared" ca="1" si="203"/>
        <v/>
      </c>
      <c r="R976" t="str">
        <f t="shared" ca="1" si="204"/>
        <v/>
      </c>
      <c r="T976">
        <f t="shared" si="205"/>
        <v>0</v>
      </c>
      <c r="V976">
        <v>1</v>
      </c>
      <c r="W976" t="str">
        <f t="shared" si="208"/>
        <v/>
      </c>
    </row>
    <row r="977" spans="1:23" outlineLevel="2" x14ac:dyDescent="0.3">
      <c r="A977">
        <v>38.69</v>
      </c>
      <c r="I977">
        <f t="shared" si="198"/>
        <v>38.69</v>
      </c>
      <c r="J977" t="str">
        <f t="shared" si="199"/>
        <v/>
      </c>
      <c r="K977" t="e">
        <f t="shared" si="206"/>
        <v>#N/A</v>
      </c>
      <c r="L977" t="str">
        <f t="shared" si="200"/>
        <v/>
      </c>
      <c r="M977" t="str">
        <f t="shared" si="201"/>
        <v/>
      </c>
      <c r="N977" t="e">
        <f t="shared" si="207"/>
        <v>#N/A</v>
      </c>
      <c r="P977">
        <f t="shared" si="202"/>
        <v>1</v>
      </c>
      <c r="Q977" t="str">
        <f t="shared" ca="1" si="203"/>
        <v/>
      </c>
      <c r="R977" t="str">
        <f t="shared" ca="1" si="204"/>
        <v/>
      </c>
      <c r="T977">
        <f t="shared" si="205"/>
        <v>0</v>
      </c>
      <c r="V977">
        <v>1</v>
      </c>
      <c r="W977" t="str">
        <f t="shared" si="208"/>
        <v/>
      </c>
    </row>
    <row r="978" spans="1:23" outlineLevel="2" x14ac:dyDescent="0.3">
      <c r="A978">
        <v>37.78</v>
      </c>
      <c r="I978">
        <f t="shared" si="198"/>
        <v>37.78</v>
      </c>
      <c r="J978" t="str">
        <f t="shared" si="199"/>
        <v/>
      </c>
      <c r="K978" t="e">
        <f t="shared" si="206"/>
        <v>#N/A</v>
      </c>
      <c r="L978" t="str">
        <f t="shared" si="200"/>
        <v/>
      </c>
      <c r="M978" t="str">
        <f t="shared" si="201"/>
        <v/>
      </c>
      <c r="N978" t="e">
        <f t="shared" si="207"/>
        <v>#N/A</v>
      </c>
      <c r="P978">
        <f t="shared" si="202"/>
        <v>1</v>
      </c>
      <c r="Q978" t="str">
        <f t="shared" ca="1" si="203"/>
        <v/>
      </c>
      <c r="R978" t="str">
        <f t="shared" ca="1" si="204"/>
        <v/>
      </c>
      <c r="T978">
        <f t="shared" si="205"/>
        <v>0</v>
      </c>
      <c r="V978">
        <v>1</v>
      </c>
      <c r="W978" t="str">
        <f t="shared" si="208"/>
        <v/>
      </c>
    </row>
    <row r="979" spans="1:23" outlineLevel="2" x14ac:dyDescent="0.3">
      <c r="A979">
        <v>39.950000000000003</v>
      </c>
      <c r="I979">
        <f t="shared" si="198"/>
        <v>39.950000000000003</v>
      </c>
      <c r="J979" t="str">
        <f t="shared" si="199"/>
        <v/>
      </c>
      <c r="K979" t="e">
        <f t="shared" si="206"/>
        <v>#N/A</v>
      </c>
      <c r="L979" t="str">
        <f t="shared" si="200"/>
        <v/>
      </c>
      <c r="M979" t="str">
        <f t="shared" si="201"/>
        <v/>
      </c>
      <c r="N979" t="e">
        <f t="shared" si="207"/>
        <v>#N/A</v>
      </c>
      <c r="P979">
        <f t="shared" si="202"/>
        <v>1</v>
      </c>
      <c r="Q979" t="str">
        <f t="shared" ca="1" si="203"/>
        <v/>
      </c>
      <c r="R979" t="str">
        <f t="shared" ca="1" si="204"/>
        <v/>
      </c>
      <c r="T979">
        <f t="shared" si="205"/>
        <v>0</v>
      </c>
      <c r="V979">
        <v>1</v>
      </c>
      <c r="W979" t="str">
        <f t="shared" si="208"/>
        <v/>
      </c>
    </row>
    <row r="980" spans="1:23" outlineLevel="2" x14ac:dyDescent="0.3">
      <c r="A980">
        <v>39.47</v>
      </c>
      <c r="I980">
        <f t="shared" si="198"/>
        <v>39.47</v>
      </c>
      <c r="J980" t="str">
        <f t="shared" si="199"/>
        <v/>
      </c>
      <c r="K980" t="e">
        <f t="shared" si="206"/>
        <v>#N/A</v>
      </c>
      <c r="L980" t="str">
        <f t="shared" si="200"/>
        <v/>
      </c>
      <c r="M980" t="str">
        <f t="shared" si="201"/>
        <v/>
      </c>
      <c r="N980" t="e">
        <f t="shared" si="207"/>
        <v>#N/A</v>
      </c>
      <c r="P980">
        <f t="shared" si="202"/>
        <v>1</v>
      </c>
      <c r="Q980" t="str">
        <f t="shared" ca="1" si="203"/>
        <v/>
      </c>
      <c r="R980" t="str">
        <f t="shared" ca="1" si="204"/>
        <v/>
      </c>
      <c r="T980">
        <f t="shared" si="205"/>
        <v>0</v>
      </c>
      <c r="V980">
        <v>1</v>
      </c>
      <c r="W980" t="str">
        <f t="shared" si="208"/>
        <v/>
      </c>
    </row>
    <row r="981" spans="1:23" outlineLevel="2" x14ac:dyDescent="0.3">
      <c r="A981">
        <v>35.54</v>
      </c>
      <c r="I981">
        <f t="shared" si="198"/>
        <v>35.54</v>
      </c>
      <c r="J981" t="str">
        <f t="shared" si="199"/>
        <v/>
      </c>
      <c r="K981" t="e">
        <f t="shared" si="206"/>
        <v>#N/A</v>
      </c>
      <c r="L981" t="str">
        <f t="shared" si="200"/>
        <v/>
      </c>
      <c r="M981" t="str">
        <f t="shared" si="201"/>
        <v/>
      </c>
      <c r="N981" t="e">
        <f t="shared" si="207"/>
        <v>#N/A</v>
      </c>
      <c r="P981">
        <f t="shared" si="202"/>
        <v>1</v>
      </c>
      <c r="Q981" t="str">
        <f t="shared" ca="1" si="203"/>
        <v/>
      </c>
      <c r="R981" t="str">
        <f t="shared" ca="1" si="204"/>
        <v/>
      </c>
      <c r="T981">
        <f t="shared" si="205"/>
        <v>0</v>
      </c>
      <c r="V981">
        <v>1</v>
      </c>
      <c r="W981" t="str">
        <f t="shared" si="208"/>
        <v/>
      </c>
    </row>
    <row r="982" spans="1:23" outlineLevel="2" x14ac:dyDescent="0.3">
      <c r="A982">
        <v>32.590000000000003</v>
      </c>
      <c r="I982">
        <f t="shared" si="198"/>
        <v>32.590000000000003</v>
      </c>
      <c r="J982" t="str">
        <f t="shared" si="199"/>
        <v/>
      </c>
      <c r="K982" t="e">
        <f t="shared" si="206"/>
        <v>#N/A</v>
      </c>
      <c r="L982" t="str">
        <f t="shared" si="200"/>
        <v/>
      </c>
      <c r="M982" t="str">
        <f t="shared" si="201"/>
        <v/>
      </c>
      <c r="N982" t="e">
        <f t="shared" si="207"/>
        <v>#N/A</v>
      </c>
      <c r="P982">
        <f t="shared" si="202"/>
        <v>1</v>
      </c>
      <c r="Q982" t="str">
        <f t="shared" ca="1" si="203"/>
        <v/>
      </c>
      <c r="R982" t="str">
        <f t="shared" ca="1" si="204"/>
        <v/>
      </c>
      <c r="T982">
        <f t="shared" si="205"/>
        <v>0</v>
      </c>
      <c r="V982">
        <v>1</v>
      </c>
      <c r="W982" t="str">
        <f t="shared" si="208"/>
        <v/>
      </c>
    </row>
    <row r="983" spans="1:23" outlineLevel="2" x14ac:dyDescent="0.3">
      <c r="A983">
        <v>32.92</v>
      </c>
      <c r="I983">
        <f t="shared" si="198"/>
        <v>32.92</v>
      </c>
      <c r="J983" t="str">
        <f t="shared" si="199"/>
        <v/>
      </c>
      <c r="K983" t="e">
        <f t="shared" si="206"/>
        <v>#N/A</v>
      </c>
      <c r="L983" t="str">
        <f t="shared" si="200"/>
        <v/>
      </c>
      <c r="M983" t="str">
        <f t="shared" si="201"/>
        <v/>
      </c>
      <c r="N983" t="e">
        <f t="shared" si="207"/>
        <v>#N/A</v>
      </c>
      <c r="P983">
        <f t="shared" si="202"/>
        <v>1</v>
      </c>
      <c r="Q983" t="str">
        <f t="shared" ca="1" si="203"/>
        <v/>
      </c>
      <c r="R983" t="str">
        <f t="shared" ca="1" si="204"/>
        <v/>
      </c>
      <c r="T983">
        <f t="shared" si="205"/>
        <v>0</v>
      </c>
      <c r="V983">
        <v>1</v>
      </c>
      <c r="W983" t="str">
        <f t="shared" si="208"/>
        <v/>
      </c>
    </row>
    <row r="984" spans="1:23" outlineLevel="2" x14ac:dyDescent="0.3">
      <c r="A984">
        <v>33.67</v>
      </c>
      <c r="I984">
        <f t="shared" si="198"/>
        <v>33.67</v>
      </c>
      <c r="J984" t="str">
        <f t="shared" si="199"/>
        <v/>
      </c>
      <c r="K984" t="e">
        <f t="shared" si="206"/>
        <v>#N/A</v>
      </c>
      <c r="L984" t="str">
        <f t="shared" si="200"/>
        <v/>
      </c>
      <c r="M984" t="str">
        <f t="shared" si="201"/>
        <v/>
      </c>
      <c r="N984" t="e">
        <f t="shared" si="207"/>
        <v>#N/A</v>
      </c>
      <c r="P984">
        <f t="shared" si="202"/>
        <v>1</v>
      </c>
      <c r="Q984" t="str">
        <f t="shared" ca="1" si="203"/>
        <v/>
      </c>
      <c r="R984" t="str">
        <f t="shared" ca="1" si="204"/>
        <v/>
      </c>
      <c r="T984">
        <f t="shared" si="205"/>
        <v>0</v>
      </c>
      <c r="V984">
        <v>1</v>
      </c>
      <c r="W984" t="str">
        <f t="shared" si="208"/>
        <v/>
      </c>
    </row>
    <row r="985" spans="1:23" outlineLevel="2" x14ac:dyDescent="0.3">
      <c r="A985">
        <v>32.64</v>
      </c>
      <c r="I985">
        <f t="shared" si="198"/>
        <v>32.64</v>
      </c>
      <c r="J985" t="str">
        <f t="shared" si="199"/>
        <v/>
      </c>
      <c r="K985" t="e">
        <f t="shared" si="206"/>
        <v>#N/A</v>
      </c>
      <c r="L985" t="str">
        <f t="shared" si="200"/>
        <v/>
      </c>
      <c r="M985" t="str">
        <f t="shared" si="201"/>
        <v/>
      </c>
      <c r="N985" t="e">
        <f t="shared" si="207"/>
        <v>#N/A</v>
      </c>
      <c r="P985">
        <f t="shared" si="202"/>
        <v>1</v>
      </c>
      <c r="Q985" t="str">
        <f t="shared" ca="1" si="203"/>
        <v/>
      </c>
      <c r="R985" t="str">
        <f t="shared" ca="1" si="204"/>
        <v/>
      </c>
      <c r="T985">
        <f t="shared" si="205"/>
        <v>0</v>
      </c>
      <c r="V985">
        <v>1</v>
      </c>
      <c r="W985" t="str">
        <f t="shared" si="208"/>
        <v/>
      </c>
    </row>
    <row r="986" spans="1:23" outlineLevel="2" x14ac:dyDescent="0.3">
      <c r="A986">
        <v>30.46</v>
      </c>
      <c r="I986">
        <f t="shared" si="198"/>
        <v>30.46</v>
      </c>
      <c r="J986" t="str">
        <f t="shared" si="199"/>
        <v/>
      </c>
      <c r="K986" t="e">
        <f t="shared" si="206"/>
        <v>#N/A</v>
      </c>
      <c r="L986" t="str">
        <f t="shared" si="200"/>
        <v/>
      </c>
      <c r="M986" t="str">
        <f t="shared" si="201"/>
        <v/>
      </c>
      <c r="N986" t="e">
        <f t="shared" si="207"/>
        <v>#N/A</v>
      </c>
      <c r="P986">
        <f t="shared" si="202"/>
        <v>1</v>
      </c>
      <c r="Q986" t="str">
        <f t="shared" ca="1" si="203"/>
        <v/>
      </c>
      <c r="R986" t="str">
        <f t="shared" ca="1" si="204"/>
        <v/>
      </c>
      <c r="T986">
        <f t="shared" si="205"/>
        <v>0</v>
      </c>
      <c r="V986">
        <v>1</v>
      </c>
      <c r="W986" t="str">
        <f t="shared" si="208"/>
        <v/>
      </c>
    </row>
    <row r="987" spans="1:23" outlineLevel="2" x14ac:dyDescent="0.3">
      <c r="A987">
        <v>27.2</v>
      </c>
      <c r="I987">
        <f t="shared" si="198"/>
        <v>27.2</v>
      </c>
      <c r="J987" t="str">
        <f t="shared" si="199"/>
        <v/>
      </c>
      <c r="K987" t="e">
        <f t="shared" si="206"/>
        <v>#N/A</v>
      </c>
      <c r="L987" t="str">
        <f t="shared" si="200"/>
        <v/>
      </c>
      <c r="M987" t="str">
        <f t="shared" si="201"/>
        <v/>
      </c>
      <c r="N987" t="e">
        <f t="shared" si="207"/>
        <v>#N/A</v>
      </c>
      <c r="P987">
        <f t="shared" si="202"/>
        <v>1</v>
      </c>
      <c r="Q987" t="str">
        <f t="shared" ca="1" si="203"/>
        <v/>
      </c>
      <c r="R987" t="str">
        <f t="shared" ca="1" si="204"/>
        <v/>
      </c>
      <c r="T987">
        <f t="shared" si="205"/>
        <v>0</v>
      </c>
      <c r="V987">
        <v>1</v>
      </c>
      <c r="W987" t="str">
        <f t="shared" si="208"/>
        <v/>
      </c>
    </row>
    <row r="988" spans="1:23" outlineLevel="2" x14ac:dyDescent="0.3">
      <c r="A988">
        <v>22.09</v>
      </c>
      <c r="I988">
        <f t="shared" si="198"/>
        <v>22.09</v>
      </c>
      <c r="J988" t="str">
        <f t="shared" si="199"/>
        <v/>
      </c>
      <c r="K988" t="e">
        <f t="shared" si="206"/>
        <v>#N/A</v>
      </c>
      <c r="L988" t="str">
        <f t="shared" si="200"/>
        <v/>
      </c>
      <c r="M988" t="str">
        <f t="shared" si="201"/>
        <v/>
      </c>
      <c r="N988" t="e">
        <f t="shared" si="207"/>
        <v>#N/A</v>
      </c>
      <c r="P988">
        <f t="shared" si="202"/>
        <v>1</v>
      </c>
      <c r="Q988" t="str">
        <f t="shared" ca="1" si="203"/>
        <v/>
      </c>
      <c r="R988" t="str">
        <f t="shared" ca="1" si="204"/>
        <v/>
      </c>
      <c r="T988">
        <f t="shared" si="205"/>
        <v>0</v>
      </c>
      <c r="V988">
        <v>1</v>
      </c>
      <c r="W988" t="str">
        <f t="shared" si="208"/>
        <v/>
      </c>
    </row>
    <row r="989" spans="1:23" outlineLevel="2" x14ac:dyDescent="0.3">
      <c r="A989">
        <v>13.95</v>
      </c>
      <c r="I989">
        <f t="shared" si="198"/>
        <v>13.95</v>
      </c>
      <c r="J989" t="str">
        <f t="shared" si="199"/>
        <v/>
      </c>
      <c r="K989" t="e">
        <f t="shared" si="206"/>
        <v>#N/A</v>
      </c>
      <c r="L989" t="str">
        <f t="shared" si="200"/>
        <v/>
      </c>
      <c r="M989" t="str">
        <f t="shared" si="201"/>
        <v/>
      </c>
      <c r="N989" t="e">
        <f t="shared" si="207"/>
        <v>#N/A</v>
      </c>
      <c r="P989">
        <f t="shared" si="202"/>
        <v>1</v>
      </c>
      <c r="Q989" t="str">
        <f t="shared" ca="1" si="203"/>
        <v/>
      </c>
      <c r="R989" t="str">
        <f t="shared" ca="1" si="204"/>
        <v/>
      </c>
      <c r="T989">
        <f t="shared" si="205"/>
        <v>0</v>
      </c>
      <c r="V989">
        <v>1</v>
      </c>
      <c r="W989" t="str">
        <f t="shared" si="208"/>
        <v/>
      </c>
    </row>
    <row r="990" spans="1:23" outlineLevel="2" x14ac:dyDescent="0.3">
      <c r="A990">
        <v>20</v>
      </c>
      <c r="I990">
        <f t="shared" si="198"/>
        <v>20</v>
      </c>
      <c r="J990" t="str">
        <f t="shared" si="199"/>
        <v/>
      </c>
      <c r="K990" t="e">
        <f t="shared" si="206"/>
        <v>#N/A</v>
      </c>
      <c r="L990" t="str">
        <f t="shared" si="200"/>
        <v/>
      </c>
      <c r="M990" t="str">
        <f t="shared" si="201"/>
        <v/>
      </c>
      <c r="N990" t="e">
        <f t="shared" si="207"/>
        <v>#N/A</v>
      </c>
      <c r="P990">
        <f t="shared" si="202"/>
        <v>1</v>
      </c>
      <c r="Q990" t="str">
        <f t="shared" ca="1" si="203"/>
        <v/>
      </c>
      <c r="R990" t="str">
        <f t="shared" ca="1" si="204"/>
        <v/>
      </c>
      <c r="T990">
        <f t="shared" si="205"/>
        <v>0</v>
      </c>
      <c r="V990">
        <v>1</v>
      </c>
      <c r="W990" t="str">
        <f t="shared" si="208"/>
        <v/>
      </c>
    </row>
    <row r="991" spans="1:23" outlineLevel="2" x14ac:dyDescent="0.3">
      <c r="A991">
        <v>30.53</v>
      </c>
      <c r="I991">
        <f t="shared" si="198"/>
        <v>30.53</v>
      </c>
      <c r="J991" t="str">
        <f t="shared" si="199"/>
        <v/>
      </c>
      <c r="K991" t="e">
        <f t="shared" si="206"/>
        <v>#N/A</v>
      </c>
      <c r="L991" t="str">
        <f t="shared" si="200"/>
        <v/>
      </c>
      <c r="M991" t="str">
        <f t="shared" si="201"/>
        <v/>
      </c>
      <c r="N991" t="e">
        <f t="shared" si="207"/>
        <v>#N/A</v>
      </c>
      <c r="P991">
        <f t="shared" si="202"/>
        <v>1</v>
      </c>
      <c r="Q991" t="str">
        <f t="shared" ca="1" si="203"/>
        <v/>
      </c>
      <c r="R991" t="str">
        <f t="shared" ca="1" si="204"/>
        <v/>
      </c>
      <c r="T991">
        <f t="shared" si="205"/>
        <v>0</v>
      </c>
      <c r="V991">
        <v>1</v>
      </c>
      <c r="W991" t="str">
        <f t="shared" si="208"/>
        <v/>
      </c>
    </row>
    <row r="992" spans="1:23" outlineLevel="2" x14ac:dyDescent="0.3">
      <c r="A992">
        <v>41.42</v>
      </c>
      <c r="I992">
        <f t="shared" si="198"/>
        <v>41.42</v>
      </c>
      <c r="J992" t="str">
        <f t="shared" si="199"/>
        <v/>
      </c>
      <c r="K992" t="e">
        <f t="shared" si="206"/>
        <v>#N/A</v>
      </c>
      <c r="L992" t="str">
        <f t="shared" si="200"/>
        <v/>
      </c>
      <c r="M992" t="str">
        <f t="shared" si="201"/>
        <v/>
      </c>
      <c r="N992" t="e">
        <f t="shared" si="207"/>
        <v>#N/A</v>
      </c>
      <c r="P992">
        <f t="shared" si="202"/>
        <v>1</v>
      </c>
      <c r="Q992" t="str">
        <f t="shared" ca="1" si="203"/>
        <v/>
      </c>
      <c r="R992" t="str">
        <f t="shared" ca="1" si="204"/>
        <v/>
      </c>
      <c r="T992">
        <f t="shared" si="205"/>
        <v>0</v>
      </c>
      <c r="V992">
        <v>1</v>
      </c>
      <c r="W992" t="str">
        <f t="shared" si="208"/>
        <v/>
      </c>
    </row>
    <row r="993" spans="1:23" outlineLevel="2" x14ac:dyDescent="0.3">
      <c r="A993">
        <v>51.52</v>
      </c>
      <c r="I993">
        <f t="shared" si="198"/>
        <v>51.52</v>
      </c>
      <c r="J993" t="str">
        <f t="shared" si="199"/>
        <v/>
      </c>
      <c r="K993" t="e">
        <f t="shared" si="206"/>
        <v>#N/A</v>
      </c>
      <c r="L993" t="str">
        <f t="shared" si="200"/>
        <v/>
      </c>
      <c r="M993" t="str">
        <f t="shared" si="201"/>
        <v/>
      </c>
      <c r="N993" t="e">
        <f t="shared" si="207"/>
        <v>#N/A</v>
      </c>
      <c r="P993">
        <f t="shared" si="202"/>
        <v>1</v>
      </c>
      <c r="Q993" t="str">
        <f t="shared" ca="1" si="203"/>
        <v/>
      </c>
      <c r="R993" t="str">
        <f t="shared" ca="1" si="204"/>
        <v/>
      </c>
      <c r="T993">
        <f t="shared" si="205"/>
        <v>0</v>
      </c>
      <c r="V993">
        <v>1</v>
      </c>
      <c r="W993" t="str">
        <f t="shared" si="208"/>
        <v/>
      </c>
    </row>
    <row r="994" spans="1:23" outlineLevel="2" x14ac:dyDescent="0.3">
      <c r="A994">
        <v>58.37</v>
      </c>
      <c r="I994">
        <f t="shared" si="198"/>
        <v>58.37</v>
      </c>
      <c r="J994" t="str">
        <f t="shared" si="199"/>
        <v/>
      </c>
      <c r="K994" t="e">
        <f t="shared" si="206"/>
        <v>#N/A</v>
      </c>
      <c r="L994" t="str">
        <f t="shared" si="200"/>
        <v/>
      </c>
      <c r="M994" t="str">
        <f t="shared" si="201"/>
        <v/>
      </c>
      <c r="N994" t="e">
        <f t="shared" si="207"/>
        <v>#N/A</v>
      </c>
      <c r="P994">
        <f t="shared" si="202"/>
        <v>1</v>
      </c>
      <c r="Q994" t="str">
        <f t="shared" ca="1" si="203"/>
        <v/>
      </c>
      <c r="R994" t="str">
        <f t="shared" ca="1" si="204"/>
        <v/>
      </c>
      <c r="T994">
        <f t="shared" si="205"/>
        <v>0</v>
      </c>
      <c r="V994">
        <v>1</v>
      </c>
      <c r="W994" t="str">
        <f t="shared" si="208"/>
        <v/>
      </c>
    </row>
    <row r="995" spans="1:23" outlineLevel="2" x14ac:dyDescent="0.3">
      <c r="A995">
        <v>61.9</v>
      </c>
      <c r="I995">
        <f t="shared" si="198"/>
        <v>61.9</v>
      </c>
      <c r="J995" t="str">
        <f t="shared" si="199"/>
        <v/>
      </c>
      <c r="K995" t="e">
        <f t="shared" si="206"/>
        <v>#N/A</v>
      </c>
      <c r="L995" t="str">
        <f t="shared" si="200"/>
        <v/>
      </c>
      <c r="M995" t="str">
        <f t="shared" si="201"/>
        <v/>
      </c>
      <c r="N995" t="e">
        <f t="shared" si="207"/>
        <v>#N/A</v>
      </c>
      <c r="P995">
        <f t="shared" si="202"/>
        <v>1</v>
      </c>
      <c r="Q995" t="str">
        <f t="shared" ca="1" si="203"/>
        <v/>
      </c>
      <c r="R995" t="str">
        <f t="shared" ca="1" si="204"/>
        <v/>
      </c>
      <c r="T995">
        <f t="shared" si="205"/>
        <v>0</v>
      </c>
      <c r="V995">
        <v>1</v>
      </c>
      <c r="W995" t="str">
        <f t="shared" si="208"/>
        <v/>
      </c>
    </row>
    <row r="996" spans="1:23" outlineLevel="2" x14ac:dyDescent="0.3">
      <c r="A996">
        <v>61.53</v>
      </c>
      <c r="I996">
        <f t="shared" si="198"/>
        <v>61.53</v>
      </c>
      <c r="J996" t="str">
        <f t="shared" si="199"/>
        <v/>
      </c>
      <c r="K996" t="e">
        <f t="shared" si="206"/>
        <v>#N/A</v>
      </c>
      <c r="L996" t="str">
        <f t="shared" si="200"/>
        <v/>
      </c>
      <c r="M996" t="str">
        <f t="shared" si="201"/>
        <v/>
      </c>
      <c r="N996" t="e">
        <f t="shared" si="207"/>
        <v>#N/A</v>
      </c>
      <c r="P996">
        <f t="shared" si="202"/>
        <v>1</v>
      </c>
      <c r="Q996" t="str">
        <f t="shared" ca="1" si="203"/>
        <v/>
      </c>
      <c r="R996" t="str">
        <f t="shared" ca="1" si="204"/>
        <v/>
      </c>
      <c r="T996">
        <f t="shared" si="205"/>
        <v>0</v>
      </c>
      <c r="V996">
        <v>1</v>
      </c>
      <c r="W996" t="str">
        <f t="shared" si="208"/>
        <v/>
      </c>
    </row>
    <row r="997" spans="1:23" outlineLevel="2" x14ac:dyDescent="0.3">
      <c r="A997">
        <v>57.17</v>
      </c>
      <c r="I997">
        <f t="shared" ref="I997:I1062" si="209">IF(A997&gt;0,A997,"")</f>
        <v>57.17</v>
      </c>
      <c r="J997" t="str">
        <f t="shared" ref="J997:J1062" si="210">IF(AND(I998&gt;I997,I998&gt;I999,I998&gt;$D$5),I998,"")</f>
        <v/>
      </c>
      <c r="K997" t="e">
        <f t="shared" si="206"/>
        <v>#N/A</v>
      </c>
      <c r="L997" t="str">
        <f t="shared" ref="L997:L1062" si="211">IF(A997&lt;0,A997,"")</f>
        <v/>
      </c>
      <c r="M997" t="str">
        <f t="shared" ref="M997:M1062" si="212">IF(AND(L998&lt;L997,L998&lt;L999,L998&lt;$G$5),L998,"")</f>
        <v/>
      </c>
      <c r="N997" t="e">
        <f t="shared" si="207"/>
        <v>#N/A</v>
      </c>
      <c r="P997">
        <f t="shared" ref="P997:P1062" si="213">IF(A997&gt;0,1,2)</f>
        <v>1</v>
      </c>
      <c r="Q997" t="str">
        <f t="shared" ref="Q997:Q1062" ca="1" si="214">IF(AND(A998&gt;=0,A997&lt;0),CELL("ROW",A998),IF(AND(A998&lt;0,A997&gt;=0),CELL("ROW",A998),""))</f>
        <v/>
      </c>
      <c r="R997" t="str">
        <f t="shared" ref="R997:R1062" ca="1" si="215">IF(ISNUMBER(K997),IF(INT(K997)=K997,K997,""),"")&amp;IF(ISNUMBER(N997),IF(INT(N997)=N997,N997,""),"")&amp;IF(ISNUMBER(Q997),IF(INT(Q997)=Q997,Q997,""),"")</f>
        <v/>
      </c>
      <c r="T997">
        <f t="shared" ref="T997:T1062" si="216">S998-S997</f>
        <v>0</v>
      </c>
      <c r="V997">
        <v>1</v>
      </c>
      <c r="W997" t="str">
        <f t="shared" si="208"/>
        <v/>
      </c>
    </row>
    <row r="998" spans="1:23" outlineLevel="2" x14ac:dyDescent="0.3">
      <c r="A998">
        <v>50.4</v>
      </c>
      <c r="I998">
        <f t="shared" si="209"/>
        <v>50.4</v>
      </c>
      <c r="J998" t="str">
        <f t="shared" si="210"/>
        <v/>
      </c>
      <c r="K998" t="e">
        <f t="shared" si="206"/>
        <v>#N/A</v>
      </c>
      <c r="L998" t="str">
        <f t="shared" si="211"/>
        <v/>
      </c>
      <c r="M998" t="str">
        <f t="shared" si="212"/>
        <v/>
      </c>
      <c r="N998" t="e">
        <f t="shared" si="207"/>
        <v>#N/A</v>
      </c>
      <c r="P998">
        <f t="shared" si="213"/>
        <v>1</v>
      </c>
      <c r="Q998" t="str">
        <f t="shared" ca="1" si="214"/>
        <v/>
      </c>
      <c r="R998" t="str">
        <f t="shared" ca="1" si="215"/>
        <v/>
      </c>
      <c r="T998">
        <f t="shared" si="216"/>
        <v>0</v>
      </c>
      <c r="V998">
        <v>1</v>
      </c>
      <c r="W998" t="str">
        <f t="shared" si="208"/>
        <v/>
      </c>
    </row>
    <row r="999" spans="1:23" outlineLevel="2" x14ac:dyDescent="0.3">
      <c r="A999">
        <v>41.96</v>
      </c>
      <c r="I999">
        <f t="shared" si="209"/>
        <v>41.96</v>
      </c>
      <c r="J999" t="str">
        <f t="shared" si="210"/>
        <v/>
      </c>
      <c r="K999" t="e">
        <f t="shared" si="206"/>
        <v>#N/A</v>
      </c>
      <c r="L999" t="str">
        <f t="shared" si="211"/>
        <v/>
      </c>
      <c r="M999" t="str">
        <f t="shared" si="212"/>
        <v/>
      </c>
      <c r="N999" t="e">
        <f t="shared" si="207"/>
        <v>#N/A</v>
      </c>
      <c r="P999">
        <f t="shared" si="213"/>
        <v>1</v>
      </c>
      <c r="Q999" t="str">
        <f t="shared" ca="1" si="214"/>
        <v/>
      </c>
      <c r="R999" t="str">
        <f t="shared" ca="1" si="215"/>
        <v/>
      </c>
      <c r="T999">
        <f t="shared" si="216"/>
        <v>0</v>
      </c>
      <c r="V999">
        <v>1</v>
      </c>
      <c r="W999" t="str">
        <f t="shared" si="208"/>
        <v/>
      </c>
    </row>
    <row r="1000" spans="1:23" outlineLevel="2" x14ac:dyDescent="0.3">
      <c r="A1000">
        <v>32.15</v>
      </c>
      <c r="I1000">
        <f t="shared" si="209"/>
        <v>32.15</v>
      </c>
      <c r="J1000" t="str">
        <f t="shared" si="210"/>
        <v/>
      </c>
      <c r="K1000" t="e">
        <f t="shared" si="206"/>
        <v>#N/A</v>
      </c>
      <c r="L1000" t="str">
        <f t="shared" si="211"/>
        <v/>
      </c>
      <c r="M1000" t="str">
        <f t="shared" si="212"/>
        <v/>
      </c>
      <c r="N1000" t="e">
        <f t="shared" si="207"/>
        <v>#N/A</v>
      </c>
      <c r="P1000">
        <f t="shared" si="213"/>
        <v>1</v>
      </c>
      <c r="Q1000" t="str">
        <f t="shared" ca="1" si="214"/>
        <v/>
      </c>
      <c r="R1000" t="str">
        <f t="shared" ca="1" si="215"/>
        <v/>
      </c>
      <c r="T1000">
        <f t="shared" si="216"/>
        <v>0</v>
      </c>
      <c r="V1000">
        <v>1</v>
      </c>
      <c r="W1000" t="str">
        <f t="shared" si="208"/>
        <v/>
      </c>
    </row>
    <row r="1001" spans="1:23" outlineLevel="2" x14ac:dyDescent="0.3">
      <c r="A1001">
        <v>23.12</v>
      </c>
      <c r="I1001">
        <f t="shared" si="209"/>
        <v>23.12</v>
      </c>
      <c r="J1001" t="str">
        <f t="shared" si="210"/>
        <v/>
      </c>
      <c r="K1001" t="e">
        <f t="shared" si="206"/>
        <v>#N/A</v>
      </c>
      <c r="L1001" t="str">
        <f t="shared" si="211"/>
        <v/>
      </c>
      <c r="M1001" t="str">
        <f t="shared" si="212"/>
        <v/>
      </c>
      <c r="N1001" t="e">
        <f t="shared" si="207"/>
        <v>#N/A</v>
      </c>
      <c r="P1001">
        <f t="shared" si="213"/>
        <v>1</v>
      </c>
      <c r="Q1001" t="str">
        <f t="shared" ca="1" si="214"/>
        <v/>
      </c>
      <c r="R1001" t="str">
        <f t="shared" ca="1" si="215"/>
        <v/>
      </c>
      <c r="T1001">
        <f t="shared" si="216"/>
        <v>0</v>
      </c>
      <c r="V1001">
        <v>1</v>
      </c>
      <c r="W1001" t="str">
        <f t="shared" si="208"/>
        <v/>
      </c>
    </row>
    <row r="1002" spans="1:23" outlineLevel="2" x14ac:dyDescent="0.3">
      <c r="A1002">
        <v>17.350000000000001</v>
      </c>
      <c r="I1002">
        <f t="shared" si="209"/>
        <v>17.350000000000001</v>
      </c>
      <c r="J1002" t="str">
        <f>IF(AND(I1003&gt;I1002,I1003&gt;I1005,I1003&gt;$D$5),I1003,"")</f>
        <v/>
      </c>
      <c r="K1002" t="e">
        <f t="shared" si="206"/>
        <v>#N/A</v>
      </c>
      <c r="L1002" t="str">
        <f t="shared" si="211"/>
        <v/>
      </c>
      <c r="M1002" t="str">
        <f>IF(AND(L1003&lt;L1002,L1003&lt;L1005,L1003&lt;$G$5),L1003,"")</f>
        <v/>
      </c>
      <c r="N1002" t="e">
        <f t="shared" si="207"/>
        <v>#N/A</v>
      </c>
      <c r="P1002">
        <f t="shared" si="213"/>
        <v>1</v>
      </c>
      <c r="Q1002" t="str">
        <f t="shared" ca="1" si="214"/>
        <v/>
      </c>
      <c r="R1002" t="str">
        <f t="shared" ca="1" si="215"/>
        <v/>
      </c>
      <c r="T1002">
        <f t="shared" si="216"/>
        <v>0</v>
      </c>
      <c r="V1002">
        <v>1</v>
      </c>
      <c r="W1002" t="str">
        <f t="shared" si="208"/>
        <v/>
      </c>
    </row>
    <row r="1003" spans="1:23" outlineLevel="2" x14ac:dyDescent="0.3">
      <c r="A1003">
        <v>14.15</v>
      </c>
      <c r="I1003">
        <f t="shared" si="209"/>
        <v>14.15</v>
      </c>
      <c r="J1003" t="str">
        <f>IF(AND(I1005&gt;I1003,I1005&gt;I1006,I1005&gt;$D$5),I1005,"")</f>
        <v/>
      </c>
      <c r="K1003" t="e">
        <f t="shared" si="206"/>
        <v>#N/A</v>
      </c>
      <c r="L1003" t="str">
        <f t="shared" si="211"/>
        <v/>
      </c>
      <c r="M1003" t="str">
        <f>IF(AND(L1005&lt;L1003,L1005&lt;L1006,L1005&lt;$G$5),L1005,"")</f>
        <v/>
      </c>
      <c r="N1003" t="e">
        <f t="shared" si="207"/>
        <v>#N/A</v>
      </c>
      <c r="P1003">
        <f t="shared" si="213"/>
        <v>1</v>
      </c>
      <c r="Q1003">
        <f ca="1">IF(AND(A1005&gt;=0,A1003&lt;0),CELL("ROW",A1005),IF(AND(A1005&lt;0,A1003&gt;=0),CELL("ROW",A1005),""))</f>
        <v>1005</v>
      </c>
      <c r="R1003" t="str">
        <f t="shared" ca="1" si="215"/>
        <v>1005</v>
      </c>
      <c r="T1003">
        <f>S1005-S1003</f>
        <v>0</v>
      </c>
      <c r="V1003">
        <v>1</v>
      </c>
      <c r="W1003" t="str">
        <f t="shared" si="208"/>
        <v/>
      </c>
    </row>
    <row r="1004" spans="1:23" outlineLevel="1" x14ac:dyDescent="0.3">
      <c r="O1004" s="1" t="s">
        <v>26</v>
      </c>
      <c r="P1004">
        <f>SUBTOTAL(3,P960:P1003)</f>
        <v>44</v>
      </c>
      <c r="V1004">
        <v>44</v>
      </c>
      <c r="W1004" t="str">
        <f t="shared" si="208"/>
        <v/>
      </c>
    </row>
    <row r="1005" spans="1:23" outlineLevel="2" x14ac:dyDescent="0.3">
      <c r="A1005">
        <v>-15.36</v>
      </c>
      <c r="I1005" t="str">
        <f t="shared" si="209"/>
        <v/>
      </c>
      <c r="J1005" t="str">
        <f t="shared" si="210"/>
        <v/>
      </c>
      <c r="K1005" t="e">
        <f t="shared" ref="K1005:K1048" si="217">MATCH(J1005,$A$1:$A$10041,0)</f>
        <v>#N/A</v>
      </c>
      <c r="L1005">
        <f t="shared" si="211"/>
        <v>-15.36</v>
      </c>
      <c r="M1005" t="str">
        <f t="shared" si="212"/>
        <v/>
      </c>
      <c r="N1005" t="e">
        <f t="shared" ref="N1005:N1048" si="218">MATCH(M1005,$A$1:$A$10041,0)</f>
        <v>#N/A</v>
      </c>
      <c r="P1005">
        <f t="shared" si="213"/>
        <v>2</v>
      </c>
      <c r="Q1005" t="str">
        <f t="shared" ca="1" si="214"/>
        <v/>
      </c>
      <c r="R1005" t="str">
        <f t="shared" ca="1" si="215"/>
        <v/>
      </c>
      <c r="T1005">
        <f t="shared" si="216"/>
        <v>0</v>
      </c>
      <c r="V1005">
        <v>2</v>
      </c>
      <c r="W1005" t="str">
        <f t="shared" si="208"/>
        <v/>
      </c>
    </row>
    <row r="1006" spans="1:23" outlineLevel="2" x14ac:dyDescent="0.3">
      <c r="A1006">
        <v>-19.559999999999999</v>
      </c>
      <c r="I1006" t="str">
        <f t="shared" si="209"/>
        <v/>
      </c>
      <c r="J1006" t="str">
        <f t="shared" si="210"/>
        <v/>
      </c>
      <c r="K1006" t="e">
        <f t="shared" si="217"/>
        <v>#N/A</v>
      </c>
      <c r="L1006">
        <f t="shared" si="211"/>
        <v>-19.559999999999999</v>
      </c>
      <c r="M1006" t="str">
        <f t="shared" si="212"/>
        <v/>
      </c>
      <c r="N1006" t="e">
        <f t="shared" si="218"/>
        <v>#N/A</v>
      </c>
      <c r="P1006">
        <f t="shared" si="213"/>
        <v>2</v>
      </c>
      <c r="Q1006" t="str">
        <f t="shared" ca="1" si="214"/>
        <v/>
      </c>
      <c r="R1006" t="str">
        <f t="shared" ca="1" si="215"/>
        <v/>
      </c>
      <c r="T1006">
        <f t="shared" si="216"/>
        <v>0</v>
      </c>
      <c r="V1006">
        <v>2</v>
      </c>
      <c r="W1006" t="str">
        <f t="shared" si="208"/>
        <v/>
      </c>
    </row>
    <row r="1007" spans="1:23" outlineLevel="2" x14ac:dyDescent="0.3">
      <c r="A1007">
        <v>-21.94</v>
      </c>
      <c r="I1007" t="str">
        <f t="shared" si="209"/>
        <v/>
      </c>
      <c r="J1007" t="str">
        <f t="shared" si="210"/>
        <v/>
      </c>
      <c r="K1007" t="e">
        <f t="shared" si="217"/>
        <v>#N/A</v>
      </c>
      <c r="L1007">
        <f t="shared" si="211"/>
        <v>-21.94</v>
      </c>
      <c r="M1007" t="str">
        <f t="shared" si="212"/>
        <v/>
      </c>
      <c r="N1007" t="e">
        <f t="shared" si="218"/>
        <v>#N/A</v>
      </c>
      <c r="P1007">
        <f t="shared" si="213"/>
        <v>2</v>
      </c>
      <c r="Q1007" t="str">
        <f t="shared" ca="1" si="214"/>
        <v/>
      </c>
      <c r="R1007" t="str">
        <f t="shared" ca="1" si="215"/>
        <v/>
      </c>
      <c r="T1007">
        <f t="shared" si="216"/>
        <v>0</v>
      </c>
      <c r="V1007">
        <v>2</v>
      </c>
      <c r="W1007" t="str">
        <f t="shared" si="208"/>
        <v/>
      </c>
    </row>
    <row r="1008" spans="1:23" outlineLevel="2" x14ac:dyDescent="0.3">
      <c r="A1008">
        <v>-27.17</v>
      </c>
      <c r="I1008" t="str">
        <f t="shared" si="209"/>
        <v/>
      </c>
      <c r="J1008" t="str">
        <f t="shared" si="210"/>
        <v/>
      </c>
      <c r="K1008" t="e">
        <f t="shared" si="217"/>
        <v>#N/A</v>
      </c>
      <c r="L1008">
        <f t="shared" si="211"/>
        <v>-27.17</v>
      </c>
      <c r="M1008" t="str">
        <f t="shared" si="212"/>
        <v/>
      </c>
      <c r="N1008" t="e">
        <f t="shared" si="218"/>
        <v>#N/A</v>
      </c>
      <c r="P1008">
        <f t="shared" si="213"/>
        <v>2</v>
      </c>
      <c r="Q1008" t="str">
        <f t="shared" ca="1" si="214"/>
        <v/>
      </c>
      <c r="R1008" t="str">
        <f t="shared" ca="1" si="215"/>
        <v/>
      </c>
      <c r="T1008">
        <f t="shared" si="216"/>
        <v>0</v>
      </c>
      <c r="V1008">
        <v>2</v>
      </c>
      <c r="W1008" t="str">
        <f t="shared" si="208"/>
        <v/>
      </c>
    </row>
    <row r="1009" spans="1:23" outlineLevel="2" x14ac:dyDescent="0.3">
      <c r="A1009">
        <v>-39.22</v>
      </c>
      <c r="I1009" t="str">
        <f t="shared" si="209"/>
        <v/>
      </c>
      <c r="J1009" t="str">
        <f t="shared" si="210"/>
        <v/>
      </c>
      <c r="K1009" t="e">
        <f t="shared" si="217"/>
        <v>#N/A</v>
      </c>
      <c r="L1009">
        <f t="shared" si="211"/>
        <v>-39.22</v>
      </c>
      <c r="M1009" t="str">
        <f t="shared" si="212"/>
        <v/>
      </c>
      <c r="N1009" t="e">
        <f t="shared" si="218"/>
        <v>#N/A</v>
      </c>
      <c r="P1009">
        <f t="shared" si="213"/>
        <v>2</v>
      </c>
      <c r="Q1009" t="str">
        <f t="shared" ca="1" si="214"/>
        <v/>
      </c>
      <c r="R1009" t="str">
        <f t="shared" ca="1" si="215"/>
        <v/>
      </c>
      <c r="T1009">
        <f t="shared" si="216"/>
        <v>0</v>
      </c>
      <c r="V1009">
        <v>2</v>
      </c>
      <c r="W1009" t="str">
        <f t="shared" si="208"/>
        <v/>
      </c>
    </row>
    <row r="1010" spans="1:23" outlineLevel="2" x14ac:dyDescent="0.3">
      <c r="A1010">
        <v>-50.46</v>
      </c>
      <c r="I1010" t="str">
        <f t="shared" si="209"/>
        <v/>
      </c>
      <c r="J1010" t="str">
        <f t="shared" si="210"/>
        <v/>
      </c>
      <c r="K1010" t="e">
        <f t="shared" si="217"/>
        <v>#N/A</v>
      </c>
      <c r="L1010">
        <f t="shared" si="211"/>
        <v>-50.46</v>
      </c>
      <c r="M1010" t="str">
        <f t="shared" si="212"/>
        <v/>
      </c>
      <c r="N1010" t="e">
        <f t="shared" si="218"/>
        <v>#N/A</v>
      </c>
      <c r="P1010">
        <f t="shared" si="213"/>
        <v>2</v>
      </c>
      <c r="Q1010" t="str">
        <f t="shared" ca="1" si="214"/>
        <v/>
      </c>
      <c r="R1010" t="str">
        <f t="shared" ca="1" si="215"/>
        <v/>
      </c>
      <c r="T1010">
        <f t="shared" si="216"/>
        <v>0</v>
      </c>
      <c r="V1010">
        <v>2</v>
      </c>
      <c r="W1010" t="str">
        <f t="shared" si="208"/>
        <v/>
      </c>
    </row>
    <row r="1011" spans="1:23" outlineLevel="2" x14ac:dyDescent="0.3">
      <c r="A1011">
        <v>-53.24</v>
      </c>
      <c r="I1011" t="str">
        <f t="shared" si="209"/>
        <v/>
      </c>
      <c r="J1011" t="str">
        <f t="shared" si="210"/>
        <v/>
      </c>
      <c r="K1011" t="e">
        <f t="shared" si="217"/>
        <v>#N/A</v>
      </c>
      <c r="L1011">
        <f t="shared" si="211"/>
        <v>-53.24</v>
      </c>
      <c r="M1011" t="str">
        <f t="shared" si="212"/>
        <v/>
      </c>
      <c r="N1011" t="e">
        <f t="shared" si="218"/>
        <v>#N/A</v>
      </c>
      <c r="P1011">
        <f t="shared" si="213"/>
        <v>2</v>
      </c>
      <c r="Q1011" t="str">
        <f t="shared" ca="1" si="214"/>
        <v/>
      </c>
      <c r="R1011" t="str">
        <f t="shared" ca="1" si="215"/>
        <v/>
      </c>
      <c r="T1011">
        <f t="shared" si="216"/>
        <v>0</v>
      </c>
      <c r="V1011">
        <v>2</v>
      </c>
      <c r="W1011" t="str">
        <f t="shared" si="208"/>
        <v/>
      </c>
    </row>
    <row r="1012" spans="1:23" outlineLevel="2" x14ac:dyDescent="0.3">
      <c r="A1012">
        <v>-53.11</v>
      </c>
      <c r="I1012" t="str">
        <f t="shared" si="209"/>
        <v/>
      </c>
      <c r="J1012" t="str">
        <f t="shared" si="210"/>
        <v/>
      </c>
      <c r="K1012" t="e">
        <f t="shared" si="217"/>
        <v>#N/A</v>
      </c>
      <c r="L1012">
        <f t="shared" si="211"/>
        <v>-53.11</v>
      </c>
      <c r="M1012" t="str">
        <f t="shared" si="212"/>
        <v/>
      </c>
      <c r="N1012" t="e">
        <f t="shared" si="218"/>
        <v>#N/A</v>
      </c>
      <c r="P1012">
        <f t="shared" si="213"/>
        <v>2</v>
      </c>
      <c r="Q1012" t="str">
        <f t="shared" ca="1" si="214"/>
        <v/>
      </c>
      <c r="R1012" t="str">
        <f t="shared" ca="1" si="215"/>
        <v/>
      </c>
      <c r="T1012">
        <f t="shared" si="216"/>
        <v>0</v>
      </c>
      <c r="V1012">
        <v>2</v>
      </c>
      <c r="W1012" t="str">
        <f t="shared" si="208"/>
        <v/>
      </c>
    </row>
    <row r="1013" spans="1:23" outlineLevel="2" x14ac:dyDescent="0.3">
      <c r="A1013">
        <v>-57.17</v>
      </c>
      <c r="I1013" t="str">
        <f t="shared" si="209"/>
        <v/>
      </c>
      <c r="J1013" t="str">
        <f t="shared" si="210"/>
        <v/>
      </c>
      <c r="K1013" t="e">
        <f t="shared" si="217"/>
        <v>#N/A</v>
      </c>
      <c r="L1013">
        <f t="shared" si="211"/>
        <v>-57.17</v>
      </c>
      <c r="M1013" t="str">
        <f t="shared" si="212"/>
        <v/>
      </c>
      <c r="N1013" t="e">
        <f t="shared" si="218"/>
        <v>#N/A</v>
      </c>
      <c r="P1013">
        <f t="shared" si="213"/>
        <v>2</v>
      </c>
      <c r="Q1013" t="str">
        <f t="shared" ca="1" si="214"/>
        <v/>
      </c>
      <c r="R1013" t="str">
        <f t="shared" ca="1" si="215"/>
        <v/>
      </c>
      <c r="T1013">
        <f t="shared" si="216"/>
        <v>0</v>
      </c>
      <c r="V1013">
        <v>2</v>
      </c>
      <c r="W1013" t="str">
        <f t="shared" si="208"/>
        <v/>
      </c>
    </row>
    <row r="1014" spans="1:23" outlineLevel="2" x14ac:dyDescent="0.3">
      <c r="A1014">
        <v>-63.19</v>
      </c>
      <c r="I1014" t="str">
        <f t="shared" si="209"/>
        <v/>
      </c>
      <c r="J1014" t="str">
        <f t="shared" si="210"/>
        <v/>
      </c>
      <c r="K1014" t="e">
        <f t="shared" si="217"/>
        <v>#N/A</v>
      </c>
      <c r="L1014">
        <f t="shared" si="211"/>
        <v>-63.19</v>
      </c>
      <c r="M1014" t="str">
        <f t="shared" si="212"/>
        <v/>
      </c>
      <c r="N1014" t="e">
        <f t="shared" si="218"/>
        <v>#N/A</v>
      </c>
      <c r="P1014">
        <f t="shared" si="213"/>
        <v>2</v>
      </c>
      <c r="Q1014" t="str">
        <f t="shared" ca="1" si="214"/>
        <v/>
      </c>
      <c r="R1014" t="str">
        <f t="shared" ca="1" si="215"/>
        <v/>
      </c>
      <c r="T1014">
        <f t="shared" si="216"/>
        <v>0</v>
      </c>
      <c r="V1014">
        <v>2</v>
      </c>
      <c r="W1014" t="str">
        <f t="shared" si="208"/>
        <v/>
      </c>
    </row>
    <row r="1015" spans="1:23" outlineLevel="2" x14ac:dyDescent="0.3">
      <c r="A1015">
        <v>-67.44</v>
      </c>
      <c r="I1015" t="str">
        <f t="shared" si="209"/>
        <v/>
      </c>
      <c r="J1015" t="str">
        <f t="shared" si="210"/>
        <v/>
      </c>
      <c r="K1015" t="e">
        <f t="shared" si="217"/>
        <v>#N/A</v>
      </c>
      <c r="L1015">
        <f t="shared" si="211"/>
        <v>-67.44</v>
      </c>
      <c r="M1015" t="str">
        <f t="shared" si="212"/>
        <v/>
      </c>
      <c r="N1015" t="e">
        <f t="shared" si="218"/>
        <v>#N/A</v>
      </c>
      <c r="P1015">
        <f t="shared" si="213"/>
        <v>2</v>
      </c>
      <c r="Q1015" t="str">
        <f t="shared" ca="1" si="214"/>
        <v/>
      </c>
      <c r="R1015" t="str">
        <f t="shared" ca="1" si="215"/>
        <v/>
      </c>
      <c r="T1015">
        <f t="shared" si="216"/>
        <v>0</v>
      </c>
      <c r="V1015">
        <v>2</v>
      </c>
      <c r="W1015" t="str">
        <f t="shared" si="208"/>
        <v/>
      </c>
    </row>
    <row r="1016" spans="1:23" outlineLevel="2" x14ac:dyDescent="0.3">
      <c r="A1016">
        <v>-70.989999999999995</v>
      </c>
      <c r="I1016" t="str">
        <f t="shared" si="209"/>
        <v/>
      </c>
      <c r="J1016" t="str">
        <f t="shared" si="210"/>
        <v/>
      </c>
      <c r="K1016" t="e">
        <f t="shared" si="217"/>
        <v>#N/A</v>
      </c>
      <c r="L1016">
        <f t="shared" si="211"/>
        <v>-70.989999999999995</v>
      </c>
      <c r="M1016" t="str">
        <f t="shared" si="212"/>
        <v/>
      </c>
      <c r="N1016" t="e">
        <f t="shared" si="218"/>
        <v>#N/A</v>
      </c>
      <c r="P1016">
        <f t="shared" si="213"/>
        <v>2</v>
      </c>
      <c r="Q1016" t="str">
        <f t="shared" ca="1" si="214"/>
        <v/>
      </c>
      <c r="R1016" t="str">
        <f t="shared" ca="1" si="215"/>
        <v/>
      </c>
      <c r="T1016">
        <f t="shared" si="216"/>
        <v>0</v>
      </c>
      <c r="V1016">
        <v>2</v>
      </c>
      <c r="W1016" t="str">
        <f t="shared" si="208"/>
        <v/>
      </c>
    </row>
    <row r="1017" spans="1:23" outlineLevel="2" x14ac:dyDescent="0.3">
      <c r="A1017">
        <v>-74</v>
      </c>
      <c r="I1017" t="str">
        <f t="shared" si="209"/>
        <v/>
      </c>
      <c r="J1017" t="str">
        <f t="shared" si="210"/>
        <v/>
      </c>
      <c r="K1017" t="e">
        <f t="shared" si="217"/>
        <v>#N/A</v>
      </c>
      <c r="L1017">
        <f t="shared" si="211"/>
        <v>-74</v>
      </c>
      <c r="M1017" t="str">
        <f t="shared" si="212"/>
        <v/>
      </c>
      <c r="N1017" t="e">
        <f t="shared" si="218"/>
        <v>#N/A</v>
      </c>
      <c r="P1017">
        <f t="shared" si="213"/>
        <v>2</v>
      </c>
      <c r="Q1017" t="str">
        <f t="shared" ca="1" si="214"/>
        <v/>
      </c>
      <c r="R1017" t="str">
        <f t="shared" ca="1" si="215"/>
        <v/>
      </c>
      <c r="T1017">
        <f t="shared" si="216"/>
        <v>0</v>
      </c>
      <c r="V1017">
        <v>2</v>
      </c>
      <c r="W1017" t="str">
        <f t="shared" si="208"/>
        <v/>
      </c>
    </row>
    <row r="1018" spans="1:23" outlineLevel="2" x14ac:dyDescent="0.3">
      <c r="A1018">
        <v>-74.53</v>
      </c>
      <c r="I1018" t="str">
        <f t="shared" si="209"/>
        <v/>
      </c>
      <c r="J1018" t="str">
        <f t="shared" si="210"/>
        <v/>
      </c>
      <c r="K1018" t="e">
        <f t="shared" si="217"/>
        <v>#N/A</v>
      </c>
      <c r="L1018">
        <f t="shared" si="211"/>
        <v>-74.53</v>
      </c>
      <c r="M1018" t="str">
        <f t="shared" si="212"/>
        <v/>
      </c>
      <c r="N1018" t="e">
        <f t="shared" si="218"/>
        <v>#N/A</v>
      </c>
      <c r="P1018">
        <f t="shared" si="213"/>
        <v>2</v>
      </c>
      <c r="Q1018" t="str">
        <f t="shared" ca="1" si="214"/>
        <v/>
      </c>
      <c r="R1018" t="str">
        <f t="shared" ca="1" si="215"/>
        <v/>
      </c>
      <c r="T1018">
        <f t="shared" si="216"/>
        <v>0</v>
      </c>
      <c r="V1018">
        <v>2</v>
      </c>
      <c r="W1018" t="str">
        <f t="shared" si="208"/>
        <v/>
      </c>
    </row>
    <row r="1019" spans="1:23" outlineLevel="2" x14ac:dyDescent="0.3">
      <c r="A1019">
        <v>-73.39</v>
      </c>
      <c r="I1019" t="str">
        <f t="shared" si="209"/>
        <v/>
      </c>
      <c r="J1019" t="str">
        <f t="shared" si="210"/>
        <v/>
      </c>
      <c r="K1019" t="e">
        <f t="shared" si="217"/>
        <v>#N/A</v>
      </c>
      <c r="L1019">
        <f t="shared" si="211"/>
        <v>-73.39</v>
      </c>
      <c r="M1019" t="str">
        <f t="shared" si="212"/>
        <v/>
      </c>
      <c r="N1019" t="e">
        <f t="shared" si="218"/>
        <v>#N/A</v>
      </c>
      <c r="P1019">
        <f t="shared" si="213"/>
        <v>2</v>
      </c>
      <c r="Q1019" t="str">
        <f t="shared" ca="1" si="214"/>
        <v/>
      </c>
      <c r="R1019" t="str">
        <f t="shared" ca="1" si="215"/>
        <v/>
      </c>
      <c r="T1019">
        <f t="shared" si="216"/>
        <v>0</v>
      </c>
      <c r="V1019">
        <v>2</v>
      </c>
      <c r="W1019" t="str">
        <f t="shared" si="208"/>
        <v/>
      </c>
    </row>
    <row r="1020" spans="1:23" outlineLevel="2" x14ac:dyDescent="0.3">
      <c r="A1020">
        <v>-71.819999999999993</v>
      </c>
      <c r="I1020" t="str">
        <f t="shared" si="209"/>
        <v/>
      </c>
      <c r="J1020" t="str">
        <f t="shared" si="210"/>
        <v/>
      </c>
      <c r="K1020" t="e">
        <f t="shared" si="217"/>
        <v>#N/A</v>
      </c>
      <c r="L1020">
        <f t="shared" si="211"/>
        <v>-71.819999999999993</v>
      </c>
      <c r="M1020" t="str">
        <f t="shared" si="212"/>
        <v/>
      </c>
      <c r="N1020" t="e">
        <f t="shared" si="218"/>
        <v>#N/A</v>
      </c>
      <c r="P1020">
        <f t="shared" si="213"/>
        <v>2</v>
      </c>
      <c r="Q1020" t="str">
        <f t="shared" ca="1" si="214"/>
        <v/>
      </c>
      <c r="R1020" t="str">
        <f t="shared" ca="1" si="215"/>
        <v/>
      </c>
      <c r="T1020">
        <f t="shared" si="216"/>
        <v>0</v>
      </c>
      <c r="V1020">
        <v>2</v>
      </c>
      <c r="W1020" t="str">
        <f t="shared" si="208"/>
        <v/>
      </c>
    </row>
    <row r="1021" spans="1:23" outlineLevel="2" x14ac:dyDescent="0.3">
      <c r="A1021">
        <v>-69.02</v>
      </c>
      <c r="I1021" t="str">
        <f t="shared" si="209"/>
        <v/>
      </c>
      <c r="J1021" t="str">
        <f t="shared" si="210"/>
        <v/>
      </c>
      <c r="K1021" t="e">
        <f t="shared" si="217"/>
        <v>#N/A</v>
      </c>
      <c r="L1021">
        <f t="shared" si="211"/>
        <v>-69.02</v>
      </c>
      <c r="M1021" t="str">
        <f t="shared" si="212"/>
        <v/>
      </c>
      <c r="N1021" t="e">
        <f t="shared" si="218"/>
        <v>#N/A</v>
      </c>
      <c r="P1021">
        <f t="shared" si="213"/>
        <v>2</v>
      </c>
      <c r="Q1021" t="str">
        <f t="shared" ca="1" si="214"/>
        <v/>
      </c>
      <c r="R1021" t="str">
        <f t="shared" ca="1" si="215"/>
        <v/>
      </c>
      <c r="T1021">
        <f t="shared" si="216"/>
        <v>0</v>
      </c>
      <c r="V1021">
        <v>2</v>
      </c>
      <c r="W1021" t="str">
        <f t="shared" si="208"/>
        <v/>
      </c>
    </row>
    <row r="1022" spans="1:23" outlineLevel="2" x14ac:dyDescent="0.3">
      <c r="A1022">
        <v>-65.14</v>
      </c>
      <c r="I1022" t="str">
        <f t="shared" si="209"/>
        <v/>
      </c>
      <c r="J1022" t="str">
        <f t="shared" si="210"/>
        <v/>
      </c>
      <c r="K1022" t="e">
        <f t="shared" si="217"/>
        <v>#N/A</v>
      </c>
      <c r="L1022">
        <f t="shared" si="211"/>
        <v>-65.14</v>
      </c>
      <c r="M1022" t="str">
        <f t="shared" si="212"/>
        <v/>
      </c>
      <c r="N1022" t="e">
        <f t="shared" si="218"/>
        <v>#N/A</v>
      </c>
      <c r="P1022">
        <f t="shared" si="213"/>
        <v>2</v>
      </c>
      <c r="Q1022" t="str">
        <f t="shared" ca="1" si="214"/>
        <v/>
      </c>
      <c r="R1022" t="str">
        <f t="shared" ca="1" si="215"/>
        <v/>
      </c>
      <c r="T1022">
        <f t="shared" si="216"/>
        <v>0</v>
      </c>
      <c r="V1022">
        <v>2</v>
      </c>
      <c r="W1022" t="str">
        <f t="shared" si="208"/>
        <v/>
      </c>
    </row>
    <row r="1023" spans="1:23" outlineLevel="2" x14ac:dyDescent="0.3">
      <c r="A1023">
        <v>-62.74</v>
      </c>
      <c r="I1023" t="str">
        <f t="shared" si="209"/>
        <v/>
      </c>
      <c r="J1023" t="str">
        <f t="shared" si="210"/>
        <v/>
      </c>
      <c r="K1023" t="e">
        <f t="shared" si="217"/>
        <v>#N/A</v>
      </c>
      <c r="L1023">
        <f t="shared" si="211"/>
        <v>-62.74</v>
      </c>
      <c r="M1023" t="str">
        <f t="shared" si="212"/>
        <v/>
      </c>
      <c r="N1023" t="e">
        <f t="shared" si="218"/>
        <v>#N/A</v>
      </c>
      <c r="P1023">
        <f t="shared" si="213"/>
        <v>2</v>
      </c>
      <c r="Q1023" t="str">
        <f t="shared" ca="1" si="214"/>
        <v/>
      </c>
      <c r="R1023" t="str">
        <f t="shared" ca="1" si="215"/>
        <v/>
      </c>
      <c r="T1023">
        <f t="shared" si="216"/>
        <v>0</v>
      </c>
      <c r="V1023">
        <v>2</v>
      </c>
      <c r="W1023" t="str">
        <f t="shared" si="208"/>
        <v/>
      </c>
    </row>
    <row r="1024" spans="1:23" outlineLevel="2" x14ac:dyDescent="0.3">
      <c r="A1024">
        <v>-62.66</v>
      </c>
      <c r="I1024" t="str">
        <f t="shared" si="209"/>
        <v/>
      </c>
      <c r="J1024" t="str">
        <f t="shared" si="210"/>
        <v/>
      </c>
      <c r="K1024" t="e">
        <f t="shared" si="217"/>
        <v>#N/A</v>
      </c>
      <c r="L1024">
        <f t="shared" si="211"/>
        <v>-62.66</v>
      </c>
      <c r="M1024" t="str">
        <f t="shared" si="212"/>
        <v/>
      </c>
      <c r="N1024" t="e">
        <f t="shared" si="218"/>
        <v>#N/A</v>
      </c>
      <c r="P1024">
        <f t="shared" si="213"/>
        <v>2</v>
      </c>
      <c r="Q1024" t="str">
        <f t="shared" ca="1" si="214"/>
        <v/>
      </c>
      <c r="R1024" t="str">
        <f t="shared" ca="1" si="215"/>
        <v/>
      </c>
      <c r="T1024">
        <f t="shared" si="216"/>
        <v>0</v>
      </c>
      <c r="V1024">
        <v>2</v>
      </c>
      <c r="W1024" t="str">
        <f t="shared" si="208"/>
        <v/>
      </c>
    </row>
    <row r="1025" spans="1:23" outlineLevel="2" x14ac:dyDescent="0.3">
      <c r="A1025">
        <v>-62.51</v>
      </c>
      <c r="I1025" t="str">
        <f t="shared" si="209"/>
        <v/>
      </c>
      <c r="J1025" t="str">
        <f t="shared" si="210"/>
        <v/>
      </c>
      <c r="K1025" t="e">
        <f t="shared" si="217"/>
        <v>#N/A</v>
      </c>
      <c r="L1025">
        <f t="shared" si="211"/>
        <v>-62.51</v>
      </c>
      <c r="M1025" t="str">
        <f t="shared" si="212"/>
        <v/>
      </c>
      <c r="N1025" t="e">
        <f t="shared" si="218"/>
        <v>#N/A</v>
      </c>
      <c r="P1025">
        <f t="shared" si="213"/>
        <v>2</v>
      </c>
      <c r="Q1025" t="str">
        <f t="shared" ca="1" si="214"/>
        <v/>
      </c>
      <c r="R1025" t="str">
        <f t="shared" ca="1" si="215"/>
        <v/>
      </c>
      <c r="T1025">
        <f t="shared" si="216"/>
        <v>0</v>
      </c>
      <c r="V1025">
        <v>2</v>
      </c>
      <c r="W1025" t="str">
        <f t="shared" si="208"/>
        <v/>
      </c>
    </row>
    <row r="1026" spans="1:23" outlineLevel="2" x14ac:dyDescent="0.3">
      <c r="A1026">
        <v>-60.34</v>
      </c>
      <c r="I1026" t="str">
        <f t="shared" si="209"/>
        <v/>
      </c>
      <c r="J1026" t="str">
        <f t="shared" si="210"/>
        <v/>
      </c>
      <c r="K1026" t="e">
        <f t="shared" si="217"/>
        <v>#N/A</v>
      </c>
      <c r="L1026">
        <f t="shared" si="211"/>
        <v>-60.34</v>
      </c>
      <c r="M1026" t="str">
        <f t="shared" si="212"/>
        <v/>
      </c>
      <c r="N1026" t="e">
        <f t="shared" si="218"/>
        <v>#N/A</v>
      </c>
      <c r="P1026">
        <f t="shared" si="213"/>
        <v>2</v>
      </c>
      <c r="Q1026" t="str">
        <f t="shared" ca="1" si="214"/>
        <v/>
      </c>
      <c r="R1026" t="str">
        <f t="shared" ca="1" si="215"/>
        <v/>
      </c>
      <c r="T1026">
        <f t="shared" si="216"/>
        <v>0</v>
      </c>
      <c r="V1026">
        <v>2</v>
      </c>
      <c r="W1026" t="str">
        <f t="shared" si="208"/>
        <v/>
      </c>
    </row>
    <row r="1027" spans="1:23" outlineLevel="2" x14ac:dyDescent="0.3">
      <c r="A1027">
        <v>-58.01</v>
      </c>
      <c r="I1027" t="str">
        <f t="shared" si="209"/>
        <v/>
      </c>
      <c r="J1027" t="str">
        <f t="shared" si="210"/>
        <v/>
      </c>
      <c r="K1027" t="e">
        <f t="shared" si="217"/>
        <v>#N/A</v>
      </c>
      <c r="L1027">
        <f t="shared" si="211"/>
        <v>-58.01</v>
      </c>
      <c r="M1027" t="str">
        <f t="shared" si="212"/>
        <v/>
      </c>
      <c r="N1027" t="e">
        <f t="shared" si="218"/>
        <v>#N/A</v>
      </c>
      <c r="P1027">
        <f t="shared" si="213"/>
        <v>2</v>
      </c>
      <c r="Q1027" t="str">
        <f t="shared" ca="1" si="214"/>
        <v/>
      </c>
      <c r="R1027" t="str">
        <f t="shared" ca="1" si="215"/>
        <v/>
      </c>
      <c r="T1027">
        <f t="shared" si="216"/>
        <v>0</v>
      </c>
      <c r="V1027">
        <v>2</v>
      </c>
      <c r="W1027" t="str">
        <f t="shared" ref="W1027:W1090" si="219">IF(AND(V1027&gt;2,V1027&lt;20),V1027,"")</f>
        <v/>
      </c>
    </row>
    <row r="1028" spans="1:23" outlineLevel="2" x14ac:dyDescent="0.3">
      <c r="A1028">
        <v>-58.52</v>
      </c>
      <c r="I1028" t="str">
        <f t="shared" si="209"/>
        <v/>
      </c>
      <c r="J1028" t="str">
        <f t="shared" si="210"/>
        <v/>
      </c>
      <c r="K1028" t="e">
        <f t="shared" si="217"/>
        <v>#N/A</v>
      </c>
      <c r="L1028">
        <f t="shared" si="211"/>
        <v>-58.52</v>
      </c>
      <c r="M1028" t="str">
        <f t="shared" si="212"/>
        <v/>
      </c>
      <c r="N1028" t="e">
        <f t="shared" si="218"/>
        <v>#N/A</v>
      </c>
      <c r="P1028">
        <f t="shared" si="213"/>
        <v>2</v>
      </c>
      <c r="Q1028" t="str">
        <f t="shared" ca="1" si="214"/>
        <v/>
      </c>
      <c r="R1028" t="str">
        <f t="shared" ca="1" si="215"/>
        <v/>
      </c>
      <c r="T1028">
        <f t="shared" si="216"/>
        <v>0</v>
      </c>
      <c r="V1028">
        <v>2</v>
      </c>
      <c r="W1028" t="str">
        <f t="shared" si="219"/>
        <v/>
      </c>
    </row>
    <row r="1029" spans="1:23" outlineLevel="2" x14ac:dyDescent="0.3">
      <c r="A1029">
        <v>-60.07</v>
      </c>
      <c r="I1029" t="str">
        <f t="shared" si="209"/>
        <v/>
      </c>
      <c r="J1029" t="str">
        <f t="shared" si="210"/>
        <v/>
      </c>
      <c r="K1029" t="e">
        <f t="shared" si="217"/>
        <v>#N/A</v>
      </c>
      <c r="L1029">
        <f t="shared" si="211"/>
        <v>-60.07</v>
      </c>
      <c r="M1029" t="str">
        <f t="shared" si="212"/>
        <v/>
      </c>
      <c r="N1029" t="e">
        <f t="shared" si="218"/>
        <v>#N/A</v>
      </c>
      <c r="P1029">
        <f t="shared" si="213"/>
        <v>2</v>
      </c>
      <c r="Q1029" t="str">
        <f t="shared" ca="1" si="214"/>
        <v/>
      </c>
      <c r="R1029" t="str">
        <f t="shared" ca="1" si="215"/>
        <v/>
      </c>
      <c r="T1029">
        <f t="shared" si="216"/>
        <v>0</v>
      </c>
      <c r="V1029">
        <v>2</v>
      </c>
      <c r="W1029" t="str">
        <f t="shared" si="219"/>
        <v/>
      </c>
    </row>
    <row r="1030" spans="1:23" outlineLevel="2" x14ac:dyDescent="0.3">
      <c r="A1030">
        <v>-59.41</v>
      </c>
      <c r="I1030" t="str">
        <f t="shared" si="209"/>
        <v/>
      </c>
      <c r="J1030" t="str">
        <f t="shared" si="210"/>
        <v/>
      </c>
      <c r="K1030" t="e">
        <f t="shared" si="217"/>
        <v>#N/A</v>
      </c>
      <c r="L1030">
        <f t="shared" si="211"/>
        <v>-59.41</v>
      </c>
      <c r="M1030" t="str">
        <f t="shared" si="212"/>
        <v/>
      </c>
      <c r="N1030" t="e">
        <f t="shared" si="218"/>
        <v>#N/A</v>
      </c>
      <c r="P1030">
        <f t="shared" si="213"/>
        <v>2</v>
      </c>
      <c r="Q1030" t="str">
        <f t="shared" ca="1" si="214"/>
        <v/>
      </c>
      <c r="R1030" t="str">
        <f t="shared" ca="1" si="215"/>
        <v/>
      </c>
      <c r="T1030">
        <f t="shared" si="216"/>
        <v>0</v>
      </c>
      <c r="V1030">
        <v>2</v>
      </c>
      <c r="W1030" t="str">
        <f t="shared" si="219"/>
        <v/>
      </c>
    </row>
    <row r="1031" spans="1:23" outlineLevel="2" x14ac:dyDescent="0.3">
      <c r="A1031">
        <v>-56.81</v>
      </c>
      <c r="I1031" t="str">
        <f t="shared" si="209"/>
        <v/>
      </c>
      <c r="J1031" t="str">
        <f t="shared" si="210"/>
        <v/>
      </c>
      <c r="K1031" t="e">
        <f t="shared" si="217"/>
        <v>#N/A</v>
      </c>
      <c r="L1031">
        <f t="shared" si="211"/>
        <v>-56.81</v>
      </c>
      <c r="M1031" t="str">
        <f t="shared" si="212"/>
        <v/>
      </c>
      <c r="N1031" t="e">
        <f t="shared" si="218"/>
        <v>#N/A</v>
      </c>
      <c r="P1031">
        <f t="shared" si="213"/>
        <v>2</v>
      </c>
      <c r="Q1031" t="str">
        <f t="shared" ca="1" si="214"/>
        <v/>
      </c>
      <c r="R1031" t="str">
        <f t="shared" ca="1" si="215"/>
        <v/>
      </c>
      <c r="T1031">
        <f t="shared" si="216"/>
        <v>0</v>
      </c>
      <c r="V1031">
        <v>2</v>
      </c>
      <c r="W1031" t="str">
        <f t="shared" si="219"/>
        <v/>
      </c>
    </row>
    <row r="1032" spans="1:23" outlineLevel="2" x14ac:dyDescent="0.3">
      <c r="A1032">
        <v>-53.49</v>
      </c>
      <c r="I1032" t="str">
        <f t="shared" si="209"/>
        <v/>
      </c>
      <c r="J1032" t="str">
        <f t="shared" si="210"/>
        <v/>
      </c>
      <c r="K1032" t="e">
        <f t="shared" si="217"/>
        <v>#N/A</v>
      </c>
      <c r="L1032">
        <f t="shared" si="211"/>
        <v>-53.49</v>
      </c>
      <c r="M1032" t="str">
        <f t="shared" si="212"/>
        <v/>
      </c>
      <c r="N1032" t="e">
        <f t="shared" si="218"/>
        <v>#N/A</v>
      </c>
      <c r="P1032">
        <f t="shared" si="213"/>
        <v>2</v>
      </c>
      <c r="Q1032" t="str">
        <f t="shared" ca="1" si="214"/>
        <v/>
      </c>
      <c r="R1032" t="str">
        <f t="shared" ca="1" si="215"/>
        <v/>
      </c>
      <c r="T1032">
        <f t="shared" si="216"/>
        <v>0</v>
      </c>
      <c r="V1032">
        <v>2</v>
      </c>
      <c r="W1032" t="str">
        <f t="shared" si="219"/>
        <v/>
      </c>
    </row>
    <row r="1033" spans="1:23" outlineLevel="2" x14ac:dyDescent="0.3">
      <c r="A1033">
        <v>-49.37</v>
      </c>
      <c r="I1033" t="str">
        <f t="shared" si="209"/>
        <v/>
      </c>
      <c r="J1033" t="str">
        <f t="shared" si="210"/>
        <v/>
      </c>
      <c r="K1033" t="e">
        <f t="shared" si="217"/>
        <v>#N/A</v>
      </c>
      <c r="L1033">
        <f t="shared" si="211"/>
        <v>-49.37</v>
      </c>
      <c r="M1033" t="str">
        <f t="shared" si="212"/>
        <v/>
      </c>
      <c r="N1033" t="e">
        <f t="shared" si="218"/>
        <v>#N/A</v>
      </c>
      <c r="P1033">
        <f t="shared" si="213"/>
        <v>2</v>
      </c>
      <c r="Q1033" t="str">
        <f t="shared" ca="1" si="214"/>
        <v/>
      </c>
      <c r="R1033" t="str">
        <f t="shared" ca="1" si="215"/>
        <v/>
      </c>
      <c r="T1033">
        <f t="shared" si="216"/>
        <v>0</v>
      </c>
      <c r="V1033">
        <v>2</v>
      </c>
      <c r="W1033" t="str">
        <f t="shared" si="219"/>
        <v/>
      </c>
    </row>
    <row r="1034" spans="1:23" outlineLevel="2" x14ac:dyDescent="0.3">
      <c r="A1034">
        <v>-45.37</v>
      </c>
      <c r="I1034" t="str">
        <f t="shared" si="209"/>
        <v/>
      </c>
      <c r="J1034" t="str">
        <f t="shared" si="210"/>
        <v/>
      </c>
      <c r="K1034" t="e">
        <f t="shared" si="217"/>
        <v>#N/A</v>
      </c>
      <c r="L1034">
        <f t="shared" si="211"/>
        <v>-45.37</v>
      </c>
      <c r="M1034" t="str">
        <f t="shared" si="212"/>
        <v/>
      </c>
      <c r="N1034" t="e">
        <f t="shared" si="218"/>
        <v>#N/A</v>
      </c>
      <c r="P1034">
        <f t="shared" si="213"/>
        <v>2</v>
      </c>
      <c r="Q1034" t="str">
        <f t="shared" ca="1" si="214"/>
        <v/>
      </c>
      <c r="R1034" t="str">
        <f t="shared" ca="1" si="215"/>
        <v/>
      </c>
      <c r="T1034">
        <f t="shared" si="216"/>
        <v>0</v>
      </c>
      <c r="V1034">
        <v>2</v>
      </c>
      <c r="W1034" t="str">
        <f t="shared" si="219"/>
        <v/>
      </c>
    </row>
    <row r="1035" spans="1:23" outlineLevel="2" x14ac:dyDescent="0.3">
      <c r="A1035">
        <v>-41.55</v>
      </c>
      <c r="I1035" t="str">
        <f t="shared" si="209"/>
        <v/>
      </c>
      <c r="J1035" t="str">
        <f t="shared" si="210"/>
        <v/>
      </c>
      <c r="K1035" t="e">
        <f t="shared" si="217"/>
        <v>#N/A</v>
      </c>
      <c r="L1035">
        <f t="shared" si="211"/>
        <v>-41.55</v>
      </c>
      <c r="M1035" t="str">
        <f t="shared" si="212"/>
        <v/>
      </c>
      <c r="N1035" t="e">
        <f t="shared" si="218"/>
        <v>#N/A</v>
      </c>
      <c r="P1035">
        <f t="shared" si="213"/>
        <v>2</v>
      </c>
      <c r="Q1035" t="str">
        <f t="shared" ca="1" si="214"/>
        <v/>
      </c>
      <c r="R1035" t="str">
        <f t="shared" ca="1" si="215"/>
        <v/>
      </c>
      <c r="T1035">
        <f t="shared" si="216"/>
        <v>0</v>
      </c>
      <c r="V1035">
        <v>2</v>
      </c>
      <c r="W1035" t="str">
        <f t="shared" si="219"/>
        <v/>
      </c>
    </row>
    <row r="1036" spans="1:23" outlineLevel="2" x14ac:dyDescent="0.3">
      <c r="A1036">
        <v>-37.409999999999997</v>
      </c>
      <c r="I1036" t="str">
        <f t="shared" si="209"/>
        <v/>
      </c>
      <c r="J1036" t="str">
        <f t="shared" si="210"/>
        <v/>
      </c>
      <c r="K1036" t="e">
        <f t="shared" si="217"/>
        <v>#N/A</v>
      </c>
      <c r="L1036">
        <f t="shared" si="211"/>
        <v>-37.409999999999997</v>
      </c>
      <c r="M1036" t="str">
        <f t="shared" si="212"/>
        <v/>
      </c>
      <c r="N1036" t="e">
        <f t="shared" si="218"/>
        <v>#N/A</v>
      </c>
      <c r="P1036">
        <f t="shared" si="213"/>
        <v>2</v>
      </c>
      <c r="Q1036" t="str">
        <f t="shared" ca="1" si="214"/>
        <v/>
      </c>
      <c r="R1036" t="str">
        <f t="shared" ca="1" si="215"/>
        <v/>
      </c>
      <c r="T1036">
        <f t="shared" si="216"/>
        <v>0</v>
      </c>
      <c r="V1036">
        <v>2</v>
      </c>
      <c r="W1036" t="str">
        <f t="shared" si="219"/>
        <v/>
      </c>
    </row>
    <row r="1037" spans="1:23" outlineLevel="2" x14ac:dyDescent="0.3">
      <c r="A1037">
        <v>-33.090000000000003</v>
      </c>
      <c r="I1037" t="str">
        <f t="shared" si="209"/>
        <v/>
      </c>
      <c r="J1037" t="str">
        <f t="shared" si="210"/>
        <v/>
      </c>
      <c r="K1037" t="e">
        <f t="shared" si="217"/>
        <v>#N/A</v>
      </c>
      <c r="L1037">
        <f t="shared" si="211"/>
        <v>-33.090000000000003</v>
      </c>
      <c r="M1037" t="str">
        <f t="shared" si="212"/>
        <v/>
      </c>
      <c r="N1037" t="e">
        <f t="shared" si="218"/>
        <v>#N/A</v>
      </c>
      <c r="P1037">
        <f t="shared" si="213"/>
        <v>2</v>
      </c>
      <c r="Q1037" t="str">
        <f t="shared" ca="1" si="214"/>
        <v/>
      </c>
      <c r="R1037" t="str">
        <f t="shared" ca="1" si="215"/>
        <v/>
      </c>
      <c r="T1037">
        <f t="shared" si="216"/>
        <v>0</v>
      </c>
      <c r="V1037">
        <v>2</v>
      </c>
      <c r="W1037" t="str">
        <f t="shared" si="219"/>
        <v/>
      </c>
    </row>
    <row r="1038" spans="1:23" outlineLevel="2" x14ac:dyDescent="0.3">
      <c r="A1038">
        <v>-28.64</v>
      </c>
      <c r="I1038" t="str">
        <f t="shared" si="209"/>
        <v/>
      </c>
      <c r="J1038" t="str">
        <f t="shared" si="210"/>
        <v/>
      </c>
      <c r="K1038" t="e">
        <f t="shared" si="217"/>
        <v>#N/A</v>
      </c>
      <c r="L1038">
        <f t="shared" si="211"/>
        <v>-28.64</v>
      </c>
      <c r="M1038" t="str">
        <f t="shared" si="212"/>
        <v/>
      </c>
      <c r="N1038" t="e">
        <f t="shared" si="218"/>
        <v>#N/A</v>
      </c>
      <c r="P1038">
        <f t="shared" si="213"/>
        <v>2</v>
      </c>
      <c r="Q1038" t="str">
        <f t="shared" ca="1" si="214"/>
        <v/>
      </c>
      <c r="R1038" t="str">
        <f t="shared" ca="1" si="215"/>
        <v/>
      </c>
      <c r="T1038">
        <f t="shared" si="216"/>
        <v>0</v>
      </c>
      <c r="V1038">
        <v>2</v>
      </c>
      <c r="W1038" t="str">
        <f t="shared" si="219"/>
        <v/>
      </c>
    </row>
    <row r="1039" spans="1:23" outlineLevel="2" x14ac:dyDescent="0.3">
      <c r="A1039">
        <v>-24.65</v>
      </c>
      <c r="I1039" t="str">
        <f t="shared" si="209"/>
        <v/>
      </c>
      <c r="J1039" t="str">
        <f t="shared" si="210"/>
        <v/>
      </c>
      <c r="K1039" t="e">
        <f t="shared" si="217"/>
        <v>#N/A</v>
      </c>
      <c r="L1039">
        <f t="shared" si="211"/>
        <v>-24.65</v>
      </c>
      <c r="M1039" t="str">
        <f t="shared" si="212"/>
        <v/>
      </c>
      <c r="N1039" t="e">
        <f t="shared" si="218"/>
        <v>#N/A</v>
      </c>
      <c r="P1039">
        <f t="shared" si="213"/>
        <v>2</v>
      </c>
      <c r="Q1039" t="str">
        <f t="shared" ca="1" si="214"/>
        <v/>
      </c>
      <c r="R1039" t="str">
        <f t="shared" ca="1" si="215"/>
        <v/>
      </c>
      <c r="T1039">
        <f t="shared" si="216"/>
        <v>0</v>
      </c>
      <c r="V1039">
        <v>2</v>
      </c>
      <c r="W1039" t="str">
        <f t="shared" si="219"/>
        <v/>
      </c>
    </row>
    <row r="1040" spans="1:23" outlineLevel="2" x14ac:dyDescent="0.3">
      <c r="A1040">
        <v>-22.37</v>
      </c>
      <c r="I1040" t="str">
        <f t="shared" si="209"/>
        <v/>
      </c>
      <c r="J1040" t="str">
        <f t="shared" si="210"/>
        <v/>
      </c>
      <c r="K1040" t="e">
        <f t="shared" si="217"/>
        <v>#N/A</v>
      </c>
      <c r="L1040">
        <f t="shared" si="211"/>
        <v>-22.37</v>
      </c>
      <c r="M1040" t="str">
        <f t="shared" si="212"/>
        <v/>
      </c>
      <c r="N1040" t="e">
        <f t="shared" si="218"/>
        <v>#N/A</v>
      </c>
      <c r="P1040">
        <f t="shared" si="213"/>
        <v>2</v>
      </c>
      <c r="Q1040" t="str">
        <f t="shared" ca="1" si="214"/>
        <v/>
      </c>
      <c r="R1040" t="str">
        <f t="shared" ca="1" si="215"/>
        <v/>
      </c>
      <c r="T1040">
        <f t="shared" si="216"/>
        <v>0</v>
      </c>
      <c r="V1040">
        <v>2</v>
      </c>
      <c r="W1040" t="str">
        <f t="shared" si="219"/>
        <v/>
      </c>
    </row>
    <row r="1041" spans="1:23" outlineLevel="2" x14ac:dyDescent="0.3">
      <c r="A1041">
        <v>-20.74</v>
      </c>
      <c r="I1041" t="str">
        <f t="shared" si="209"/>
        <v/>
      </c>
      <c r="J1041" t="str">
        <f t="shared" si="210"/>
        <v/>
      </c>
      <c r="K1041" t="e">
        <f t="shared" si="217"/>
        <v>#N/A</v>
      </c>
      <c r="L1041">
        <f t="shared" si="211"/>
        <v>-20.74</v>
      </c>
      <c r="M1041" t="str">
        <f t="shared" si="212"/>
        <v/>
      </c>
      <c r="N1041" t="e">
        <f t="shared" si="218"/>
        <v>#N/A</v>
      </c>
      <c r="P1041">
        <f t="shared" si="213"/>
        <v>2</v>
      </c>
      <c r="Q1041" t="str">
        <f t="shared" ca="1" si="214"/>
        <v/>
      </c>
      <c r="R1041" t="str">
        <f t="shared" ca="1" si="215"/>
        <v/>
      </c>
      <c r="T1041">
        <f t="shared" si="216"/>
        <v>0</v>
      </c>
      <c r="V1041">
        <v>2</v>
      </c>
      <c r="W1041" t="str">
        <f t="shared" si="219"/>
        <v/>
      </c>
    </row>
    <row r="1042" spans="1:23" outlineLevel="2" x14ac:dyDescent="0.3">
      <c r="A1042">
        <v>-19.52</v>
      </c>
      <c r="I1042" t="str">
        <f t="shared" si="209"/>
        <v/>
      </c>
      <c r="J1042" t="str">
        <f t="shared" si="210"/>
        <v/>
      </c>
      <c r="K1042" t="e">
        <f t="shared" si="217"/>
        <v>#N/A</v>
      </c>
      <c r="L1042">
        <f t="shared" si="211"/>
        <v>-19.52</v>
      </c>
      <c r="M1042" t="str">
        <f t="shared" si="212"/>
        <v/>
      </c>
      <c r="N1042" t="e">
        <f t="shared" si="218"/>
        <v>#N/A</v>
      </c>
      <c r="P1042">
        <f t="shared" si="213"/>
        <v>2</v>
      </c>
      <c r="Q1042" t="str">
        <f t="shared" ca="1" si="214"/>
        <v/>
      </c>
      <c r="R1042" t="str">
        <f t="shared" ca="1" si="215"/>
        <v/>
      </c>
      <c r="T1042">
        <f t="shared" si="216"/>
        <v>0</v>
      </c>
      <c r="V1042">
        <v>2</v>
      </c>
      <c r="W1042" t="str">
        <f t="shared" si="219"/>
        <v/>
      </c>
    </row>
    <row r="1043" spans="1:23" outlineLevel="2" x14ac:dyDescent="0.3">
      <c r="A1043">
        <v>-20.29</v>
      </c>
      <c r="I1043" t="str">
        <f t="shared" si="209"/>
        <v/>
      </c>
      <c r="J1043" t="str">
        <f t="shared" si="210"/>
        <v/>
      </c>
      <c r="K1043" t="e">
        <f t="shared" si="217"/>
        <v>#N/A</v>
      </c>
      <c r="L1043">
        <f t="shared" si="211"/>
        <v>-20.29</v>
      </c>
      <c r="M1043" t="str">
        <f t="shared" si="212"/>
        <v/>
      </c>
      <c r="N1043" t="e">
        <f t="shared" si="218"/>
        <v>#N/A</v>
      </c>
      <c r="P1043">
        <f t="shared" si="213"/>
        <v>2</v>
      </c>
      <c r="Q1043" t="str">
        <f t="shared" ca="1" si="214"/>
        <v/>
      </c>
      <c r="R1043" t="str">
        <f t="shared" ca="1" si="215"/>
        <v/>
      </c>
      <c r="T1043">
        <f t="shared" si="216"/>
        <v>0</v>
      </c>
      <c r="V1043">
        <v>2</v>
      </c>
      <c r="W1043" t="str">
        <f t="shared" si="219"/>
        <v/>
      </c>
    </row>
    <row r="1044" spans="1:23" outlineLevel="2" x14ac:dyDescent="0.3">
      <c r="A1044">
        <v>-21.32</v>
      </c>
      <c r="I1044" t="str">
        <f t="shared" si="209"/>
        <v/>
      </c>
      <c r="J1044" t="str">
        <f t="shared" si="210"/>
        <v/>
      </c>
      <c r="K1044" t="e">
        <f t="shared" si="217"/>
        <v>#N/A</v>
      </c>
      <c r="L1044">
        <f t="shared" si="211"/>
        <v>-21.32</v>
      </c>
      <c r="M1044" t="str">
        <f t="shared" si="212"/>
        <v/>
      </c>
      <c r="N1044" t="e">
        <f t="shared" si="218"/>
        <v>#N/A</v>
      </c>
      <c r="P1044">
        <f t="shared" si="213"/>
        <v>2</v>
      </c>
      <c r="Q1044" t="str">
        <f t="shared" ca="1" si="214"/>
        <v/>
      </c>
      <c r="R1044" t="str">
        <f t="shared" ca="1" si="215"/>
        <v/>
      </c>
      <c r="T1044">
        <f t="shared" si="216"/>
        <v>0</v>
      </c>
      <c r="V1044">
        <v>2</v>
      </c>
      <c r="W1044" t="str">
        <f t="shared" si="219"/>
        <v/>
      </c>
    </row>
    <row r="1045" spans="1:23" outlineLevel="2" x14ac:dyDescent="0.3">
      <c r="A1045">
        <v>-19.760000000000002</v>
      </c>
      <c r="I1045" t="str">
        <f t="shared" si="209"/>
        <v/>
      </c>
      <c r="J1045" t="str">
        <f t="shared" si="210"/>
        <v/>
      </c>
      <c r="K1045" t="e">
        <f t="shared" si="217"/>
        <v>#N/A</v>
      </c>
      <c r="L1045">
        <f t="shared" si="211"/>
        <v>-19.760000000000002</v>
      </c>
      <c r="M1045" t="str">
        <f t="shared" si="212"/>
        <v/>
      </c>
      <c r="N1045" t="e">
        <f t="shared" si="218"/>
        <v>#N/A</v>
      </c>
      <c r="P1045">
        <f t="shared" si="213"/>
        <v>2</v>
      </c>
      <c r="Q1045" t="str">
        <f t="shared" ca="1" si="214"/>
        <v/>
      </c>
      <c r="R1045" t="str">
        <f t="shared" ca="1" si="215"/>
        <v/>
      </c>
      <c r="T1045">
        <f t="shared" si="216"/>
        <v>0</v>
      </c>
      <c r="V1045">
        <v>2</v>
      </c>
      <c r="W1045" t="str">
        <f t="shared" si="219"/>
        <v/>
      </c>
    </row>
    <row r="1046" spans="1:23" outlineLevel="2" x14ac:dyDescent="0.3">
      <c r="A1046">
        <v>-17.13</v>
      </c>
      <c r="I1046" t="str">
        <f t="shared" si="209"/>
        <v/>
      </c>
      <c r="J1046" t="str">
        <f t="shared" si="210"/>
        <v/>
      </c>
      <c r="K1046" t="e">
        <f t="shared" si="217"/>
        <v>#N/A</v>
      </c>
      <c r="L1046">
        <f t="shared" si="211"/>
        <v>-17.13</v>
      </c>
      <c r="M1046" t="str">
        <f t="shared" si="212"/>
        <v/>
      </c>
      <c r="N1046" t="e">
        <f t="shared" si="218"/>
        <v>#N/A</v>
      </c>
      <c r="P1046">
        <f t="shared" si="213"/>
        <v>2</v>
      </c>
      <c r="Q1046" t="str">
        <f t="shared" ca="1" si="214"/>
        <v/>
      </c>
      <c r="R1046" t="str">
        <f t="shared" ca="1" si="215"/>
        <v/>
      </c>
      <c r="T1046">
        <f t="shared" si="216"/>
        <v>0</v>
      </c>
      <c r="V1046">
        <v>2</v>
      </c>
      <c r="W1046" t="str">
        <f t="shared" si="219"/>
        <v/>
      </c>
    </row>
    <row r="1047" spans="1:23" outlineLevel="2" x14ac:dyDescent="0.3">
      <c r="A1047">
        <v>-15.13</v>
      </c>
      <c r="I1047" t="str">
        <f t="shared" si="209"/>
        <v/>
      </c>
      <c r="J1047" t="str">
        <f>IF(AND(I1048&gt;I1047,I1048&gt;I1050,I1048&gt;$D$5),I1048,"")</f>
        <v/>
      </c>
      <c r="K1047" t="e">
        <f t="shared" si="217"/>
        <v>#N/A</v>
      </c>
      <c r="L1047">
        <f t="shared" si="211"/>
        <v>-15.13</v>
      </c>
      <c r="M1047" t="str">
        <f>IF(AND(L1048&lt;L1047,L1048&lt;L1050,L1048&lt;$G$5),L1048,"")</f>
        <v/>
      </c>
      <c r="N1047" t="e">
        <f t="shared" si="218"/>
        <v>#N/A</v>
      </c>
      <c r="P1047">
        <f t="shared" si="213"/>
        <v>2</v>
      </c>
      <c r="Q1047" t="str">
        <f t="shared" ca="1" si="214"/>
        <v/>
      </c>
      <c r="R1047" t="str">
        <f t="shared" ca="1" si="215"/>
        <v/>
      </c>
      <c r="T1047">
        <f t="shared" si="216"/>
        <v>0</v>
      </c>
      <c r="V1047">
        <v>2</v>
      </c>
      <c r="W1047" t="str">
        <f t="shared" si="219"/>
        <v/>
      </c>
    </row>
    <row r="1048" spans="1:23" outlineLevel="2" x14ac:dyDescent="0.3">
      <c r="A1048">
        <v>-13.04</v>
      </c>
      <c r="I1048" t="str">
        <f t="shared" si="209"/>
        <v/>
      </c>
      <c r="J1048" t="str">
        <f>IF(AND(I1050&gt;I1048,I1050&gt;I1051,I1050&gt;$D$5),I1050,"")</f>
        <v/>
      </c>
      <c r="K1048" t="e">
        <f t="shared" si="217"/>
        <v>#N/A</v>
      </c>
      <c r="L1048">
        <f t="shared" si="211"/>
        <v>-13.04</v>
      </c>
      <c r="M1048" t="str">
        <f>IF(AND(L1050&lt;L1048,L1050&lt;L1051,L1050&lt;$G$5),L1050,"")</f>
        <v/>
      </c>
      <c r="N1048" t="e">
        <f t="shared" si="218"/>
        <v>#N/A</v>
      </c>
      <c r="P1048">
        <f t="shared" si="213"/>
        <v>2</v>
      </c>
      <c r="Q1048">
        <f ca="1">IF(AND(A1050&gt;=0,A1048&lt;0),CELL("ROW",A1050),IF(AND(A1050&lt;0,A1048&gt;=0),CELL("ROW",A1050),""))</f>
        <v>1050</v>
      </c>
      <c r="R1048" t="str">
        <f t="shared" ca="1" si="215"/>
        <v>1050</v>
      </c>
      <c r="T1048">
        <f>S1050-S1048</f>
        <v>0</v>
      </c>
      <c r="V1048">
        <v>2</v>
      </c>
      <c r="W1048" t="str">
        <f t="shared" si="219"/>
        <v/>
      </c>
    </row>
    <row r="1049" spans="1:23" outlineLevel="1" x14ac:dyDescent="0.3">
      <c r="O1049" s="1" t="s">
        <v>27</v>
      </c>
      <c r="P1049">
        <f>SUBTOTAL(3,P1005:P1048)</f>
        <v>44</v>
      </c>
      <c r="V1049">
        <v>44</v>
      </c>
      <c r="W1049" t="str">
        <f t="shared" si="219"/>
        <v/>
      </c>
    </row>
    <row r="1050" spans="1:23" outlineLevel="2" x14ac:dyDescent="0.3">
      <c r="A1050">
        <v>13.3</v>
      </c>
      <c r="I1050">
        <f t="shared" si="209"/>
        <v>13.3</v>
      </c>
      <c r="J1050" t="str">
        <f t="shared" si="210"/>
        <v/>
      </c>
      <c r="K1050" t="e">
        <f t="shared" ref="K1050:K1081" si="220">MATCH(J1050,$A$1:$A$10041,0)</f>
        <v>#N/A</v>
      </c>
      <c r="L1050" t="str">
        <f t="shared" si="211"/>
        <v/>
      </c>
      <c r="M1050" t="str">
        <f t="shared" si="212"/>
        <v/>
      </c>
      <c r="N1050" t="e">
        <f t="shared" ref="N1050:N1081" si="221">MATCH(M1050,$A$1:$A$10041,0)</f>
        <v>#N/A</v>
      </c>
      <c r="P1050">
        <f t="shared" si="213"/>
        <v>1</v>
      </c>
      <c r="Q1050" t="str">
        <f t="shared" ca="1" si="214"/>
        <v/>
      </c>
      <c r="R1050" t="str">
        <f t="shared" ca="1" si="215"/>
        <v/>
      </c>
      <c r="T1050">
        <f t="shared" si="216"/>
        <v>0</v>
      </c>
      <c r="V1050">
        <v>1</v>
      </c>
      <c r="W1050" t="str">
        <f t="shared" si="219"/>
        <v/>
      </c>
    </row>
    <row r="1051" spans="1:23" outlineLevel="2" x14ac:dyDescent="0.3">
      <c r="A1051">
        <v>16.39</v>
      </c>
      <c r="I1051">
        <f t="shared" si="209"/>
        <v>16.39</v>
      </c>
      <c r="J1051" t="str">
        <f t="shared" si="210"/>
        <v/>
      </c>
      <c r="K1051" t="e">
        <f t="shared" si="220"/>
        <v>#N/A</v>
      </c>
      <c r="L1051" t="str">
        <f t="shared" si="211"/>
        <v/>
      </c>
      <c r="M1051" t="str">
        <f t="shared" si="212"/>
        <v/>
      </c>
      <c r="N1051" t="e">
        <f t="shared" si="221"/>
        <v>#N/A</v>
      </c>
      <c r="P1051">
        <f t="shared" si="213"/>
        <v>1</v>
      </c>
      <c r="Q1051" t="str">
        <f t="shared" ca="1" si="214"/>
        <v/>
      </c>
      <c r="R1051" t="str">
        <f t="shared" ca="1" si="215"/>
        <v/>
      </c>
      <c r="T1051">
        <f t="shared" si="216"/>
        <v>0</v>
      </c>
      <c r="V1051">
        <v>1</v>
      </c>
      <c r="W1051" t="str">
        <f t="shared" si="219"/>
        <v/>
      </c>
    </row>
    <row r="1052" spans="1:23" outlineLevel="2" x14ac:dyDescent="0.3">
      <c r="A1052">
        <v>16.3</v>
      </c>
      <c r="I1052">
        <f t="shared" si="209"/>
        <v>16.3</v>
      </c>
      <c r="J1052" t="str">
        <f t="shared" si="210"/>
        <v/>
      </c>
      <c r="K1052" t="e">
        <f t="shared" si="220"/>
        <v>#N/A</v>
      </c>
      <c r="L1052" t="str">
        <f t="shared" si="211"/>
        <v/>
      </c>
      <c r="M1052" t="str">
        <f t="shared" si="212"/>
        <v/>
      </c>
      <c r="N1052" t="e">
        <f t="shared" si="221"/>
        <v>#N/A</v>
      </c>
      <c r="P1052">
        <f t="shared" si="213"/>
        <v>1</v>
      </c>
      <c r="Q1052" t="str">
        <f t="shared" ca="1" si="214"/>
        <v/>
      </c>
      <c r="R1052" t="str">
        <f t="shared" ca="1" si="215"/>
        <v/>
      </c>
      <c r="T1052">
        <f t="shared" si="216"/>
        <v>0</v>
      </c>
      <c r="V1052">
        <v>1</v>
      </c>
      <c r="W1052" t="str">
        <f t="shared" si="219"/>
        <v/>
      </c>
    </row>
    <row r="1053" spans="1:23" outlineLevel="2" x14ac:dyDescent="0.3">
      <c r="A1053">
        <v>14.8</v>
      </c>
      <c r="I1053">
        <f t="shared" si="209"/>
        <v>14.8</v>
      </c>
      <c r="J1053" t="str">
        <f t="shared" si="210"/>
        <v/>
      </c>
      <c r="K1053" t="e">
        <f t="shared" si="220"/>
        <v>#N/A</v>
      </c>
      <c r="L1053" t="str">
        <f t="shared" si="211"/>
        <v/>
      </c>
      <c r="M1053" t="str">
        <f t="shared" si="212"/>
        <v/>
      </c>
      <c r="N1053" t="e">
        <f t="shared" si="221"/>
        <v>#N/A</v>
      </c>
      <c r="P1053">
        <f t="shared" si="213"/>
        <v>1</v>
      </c>
      <c r="Q1053" t="str">
        <f t="shared" ca="1" si="214"/>
        <v/>
      </c>
      <c r="R1053" t="str">
        <f t="shared" ca="1" si="215"/>
        <v/>
      </c>
      <c r="T1053">
        <f t="shared" si="216"/>
        <v>0</v>
      </c>
      <c r="V1053">
        <v>1</v>
      </c>
      <c r="W1053" t="str">
        <f t="shared" si="219"/>
        <v/>
      </c>
    </row>
    <row r="1054" spans="1:23" outlineLevel="2" x14ac:dyDescent="0.3">
      <c r="A1054">
        <v>14.64</v>
      </c>
      <c r="I1054">
        <f t="shared" si="209"/>
        <v>14.64</v>
      </c>
      <c r="J1054" t="str">
        <f t="shared" si="210"/>
        <v/>
      </c>
      <c r="K1054" t="e">
        <f t="shared" si="220"/>
        <v>#N/A</v>
      </c>
      <c r="L1054" t="str">
        <f t="shared" si="211"/>
        <v/>
      </c>
      <c r="M1054" t="str">
        <f t="shared" si="212"/>
        <v/>
      </c>
      <c r="N1054" t="e">
        <f t="shared" si="221"/>
        <v>#N/A</v>
      </c>
      <c r="P1054">
        <f t="shared" si="213"/>
        <v>1</v>
      </c>
      <c r="Q1054" t="str">
        <f t="shared" ca="1" si="214"/>
        <v/>
      </c>
      <c r="R1054" t="str">
        <f t="shared" ca="1" si="215"/>
        <v/>
      </c>
      <c r="T1054">
        <f t="shared" si="216"/>
        <v>0</v>
      </c>
      <c r="V1054">
        <v>1</v>
      </c>
      <c r="W1054" t="str">
        <f t="shared" si="219"/>
        <v/>
      </c>
    </row>
    <row r="1055" spans="1:23" outlineLevel="2" x14ac:dyDescent="0.3">
      <c r="A1055">
        <v>17.12</v>
      </c>
      <c r="I1055">
        <f t="shared" si="209"/>
        <v>17.12</v>
      </c>
      <c r="J1055" t="str">
        <f t="shared" si="210"/>
        <v/>
      </c>
      <c r="K1055" t="e">
        <f t="shared" si="220"/>
        <v>#N/A</v>
      </c>
      <c r="L1055" t="str">
        <f t="shared" si="211"/>
        <v/>
      </c>
      <c r="M1055" t="str">
        <f t="shared" si="212"/>
        <v/>
      </c>
      <c r="N1055" t="e">
        <f t="shared" si="221"/>
        <v>#N/A</v>
      </c>
      <c r="P1055">
        <f t="shared" si="213"/>
        <v>1</v>
      </c>
      <c r="Q1055" t="str">
        <f t="shared" ca="1" si="214"/>
        <v/>
      </c>
      <c r="R1055" t="str">
        <f t="shared" ca="1" si="215"/>
        <v/>
      </c>
      <c r="T1055">
        <f t="shared" si="216"/>
        <v>0</v>
      </c>
      <c r="V1055">
        <v>1</v>
      </c>
      <c r="W1055" t="str">
        <f t="shared" si="219"/>
        <v/>
      </c>
    </row>
    <row r="1056" spans="1:23" outlineLevel="2" x14ac:dyDescent="0.3">
      <c r="A1056">
        <v>19.8</v>
      </c>
      <c r="I1056">
        <f t="shared" si="209"/>
        <v>19.8</v>
      </c>
      <c r="J1056" t="str">
        <f t="shared" si="210"/>
        <v/>
      </c>
      <c r="K1056" t="e">
        <f t="shared" si="220"/>
        <v>#N/A</v>
      </c>
      <c r="L1056" t="str">
        <f t="shared" si="211"/>
        <v/>
      </c>
      <c r="M1056" t="str">
        <f t="shared" si="212"/>
        <v/>
      </c>
      <c r="N1056" t="e">
        <f t="shared" si="221"/>
        <v>#N/A</v>
      </c>
      <c r="P1056">
        <f t="shared" si="213"/>
        <v>1</v>
      </c>
      <c r="Q1056" t="str">
        <f t="shared" ca="1" si="214"/>
        <v/>
      </c>
      <c r="R1056" t="str">
        <f t="shared" ca="1" si="215"/>
        <v/>
      </c>
      <c r="T1056">
        <f t="shared" si="216"/>
        <v>0</v>
      </c>
      <c r="V1056">
        <v>1</v>
      </c>
      <c r="W1056" t="str">
        <f t="shared" si="219"/>
        <v/>
      </c>
    </row>
    <row r="1057" spans="1:23" outlineLevel="2" x14ac:dyDescent="0.3">
      <c r="A1057">
        <v>20.77</v>
      </c>
      <c r="I1057">
        <f t="shared" si="209"/>
        <v>20.77</v>
      </c>
      <c r="J1057" t="str">
        <f t="shared" si="210"/>
        <v/>
      </c>
      <c r="K1057" t="e">
        <f t="shared" si="220"/>
        <v>#N/A</v>
      </c>
      <c r="L1057" t="str">
        <f t="shared" si="211"/>
        <v/>
      </c>
      <c r="M1057" t="str">
        <f t="shared" si="212"/>
        <v/>
      </c>
      <c r="N1057" t="e">
        <f t="shared" si="221"/>
        <v>#N/A</v>
      </c>
      <c r="P1057">
        <f t="shared" si="213"/>
        <v>1</v>
      </c>
      <c r="Q1057" t="str">
        <f t="shared" ca="1" si="214"/>
        <v/>
      </c>
      <c r="R1057" t="str">
        <f t="shared" ca="1" si="215"/>
        <v/>
      </c>
      <c r="T1057">
        <f t="shared" si="216"/>
        <v>0</v>
      </c>
      <c r="V1057">
        <v>1</v>
      </c>
      <c r="W1057" t="str">
        <f t="shared" si="219"/>
        <v/>
      </c>
    </row>
    <row r="1058" spans="1:23" outlineLevel="2" x14ac:dyDescent="0.3">
      <c r="A1058">
        <v>20.98</v>
      </c>
      <c r="I1058">
        <f t="shared" si="209"/>
        <v>20.98</v>
      </c>
      <c r="J1058" t="str">
        <f t="shared" si="210"/>
        <v/>
      </c>
      <c r="K1058" t="e">
        <f t="shared" si="220"/>
        <v>#N/A</v>
      </c>
      <c r="L1058" t="str">
        <f t="shared" si="211"/>
        <v/>
      </c>
      <c r="M1058" t="str">
        <f t="shared" si="212"/>
        <v/>
      </c>
      <c r="N1058" t="e">
        <f t="shared" si="221"/>
        <v>#N/A</v>
      </c>
      <c r="P1058">
        <f t="shared" si="213"/>
        <v>1</v>
      </c>
      <c r="Q1058" t="str">
        <f t="shared" ca="1" si="214"/>
        <v/>
      </c>
      <c r="R1058" t="str">
        <f t="shared" ca="1" si="215"/>
        <v/>
      </c>
      <c r="T1058">
        <f t="shared" si="216"/>
        <v>0</v>
      </c>
      <c r="V1058">
        <v>1</v>
      </c>
      <c r="W1058" t="str">
        <f t="shared" si="219"/>
        <v/>
      </c>
    </row>
    <row r="1059" spans="1:23" outlineLevel="2" x14ac:dyDescent="0.3">
      <c r="A1059">
        <v>22.03</v>
      </c>
      <c r="I1059">
        <f t="shared" si="209"/>
        <v>22.03</v>
      </c>
      <c r="J1059" t="str">
        <f t="shared" si="210"/>
        <v/>
      </c>
      <c r="K1059" t="e">
        <f t="shared" si="220"/>
        <v>#N/A</v>
      </c>
      <c r="L1059" t="str">
        <f t="shared" si="211"/>
        <v/>
      </c>
      <c r="M1059" t="str">
        <f t="shared" si="212"/>
        <v/>
      </c>
      <c r="N1059" t="e">
        <f t="shared" si="221"/>
        <v>#N/A</v>
      </c>
      <c r="P1059">
        <f t="shared" si="213"/>
        <v>1</v>
      </c>
      <c r="Q1059" t="str">
        <f t="shared" ca="1" si="214"/>
        <v/>
      </c>
      <c r="R1059" t="str">
        <f t="shared" ca="1" si="215"/>
        <v/>
      </c>
      <c r="T1059">
        <f t="shared" si="216"/>
        <v>0</v>
      </c>
      <c r="V1059">
        <v>1</v>
      </c>
      <c r="W1059" t="str">
        <f t="shared" si="219"/>
        <v/>
      </c>
    </row>
    <row r="1060" spans="1:23" outlineLevel="2" x14ac:dyDescent="0.3">
      <c r="A1060">
        <v>23.66</v>
      </c>
      <c r="I1060">
        <f t="shared" si="209"/>
        <v>23.66</v>
      </c>
      <c r="J1060" t="str">
        <f t="shared" si="210"/>
        <v/>
      </c>
      <c r="K1060" t="e">
        <f t="shared" si="220"/>
        <v>#N/A</v>
      </c>
      <c r="L1060" t="str">
        <f t="shared" si="211"/>
        <v/>
      </c>
      <c r="M1060" t="str">
        <f t="shared" si="212"/>
        <v/>
      </c>
      <c r="N1060" t="e">
        <f t="shared" si="221"/>
        <v>#N/A</v>
      </c>
      <c r="P1060">
        <f t="shared" si="213"/>
        <v>1</v>
      </c>
      <c r="Q1060" t="str">
        <f t="shared" ca="1" si="214"/>
        <v/>
      </c>
      <c r="R1060" t="str">
        <f t="shared" ca="1" si="215"/>
        <v/>
      </c>
      <c r="T1060">
        <f t="shared" si="216"/>
        <v>0</v>
      </c>
      <c r="V1060">
        <v>1</v>
      </c>
      <c r="W1060" t="str">
        <f t="shared" si="219"/>
        <v/>
      </c>
    </row>
    <row r="1061" spans="1:23" outlineLevel="2" x14ac:dyDescent="0.3">
      <c r="A1061">
        <v>24.99</v>
      </c>
      <c r="I1061">
        <f t="shared" si="209"/>
        <v>24.99</v>
      </c>
      <c r="J1061" t="str">
        <f t="shared" si="210"/>
        <v/>
      </c>
      <c r="K1061" t="e">
        <f t="shared" si="220"/>
        <v>#N/A</v>
      </c>
      <c r="L1061" t="str">
        <f t="shared" si="211"/>
        <v/>
      </c>
      <c r="M1061" t="str">
        <f t="shared" si="212"/>
        <v/>
      </c>
      <c r="N1061" t="e">
        <f t="shared" si="221"/>
        <v>#N/A</v>
      </c>
      <c r="P1061">
        <f t="shared" si="213"/>
        <v>1</v>
      </c>
      <c r="Q1061" t="str">
        <f t="shared" ca="1" si="214"/>
        <v/>
      </c>
      <c r="R1061" t="str">
        <f t="shared" ca="1" si="215"/>
        <v/>
      </c>
      <c r="T1061">
        <f t="shared" si="216"/>
        <v>0</v>
      </c>
      <c r="V1061">
        <v>1</v>
      </c>
      <c r="W1061" t="str">
        <f t="shared" si="219"/>
        <v/>
      </c>
    </row>
    <row r="1062" spans="1:23" outlineLevel="2" x14ac:dyDescent="0.3">
      <c r="A1062">
        <v>24.26</v>
      </c>
      <c r="I1062">
        <f t="shared" si="209"/>
        <v>24.26</v>
      </c>
      <c r="J1062" t="str">
        <f t="shared" si="210"/>
        <v/>
      </c>
      <c r="K1062" t="e">
        <f t="shared" si="220"/>
        <v>#N/A</v>
      </c>
      <c r="L1062" t="str">
        <f t="shared" si="211"/>
        <v/>
      </c>
      <c r="M1062" t="str">
        <f t="shared" si="212"/>
        <v/>
      </c>
      <c r="N1062" t="e">
        <f t="shared" si="221"/>
        <v>#N/A</v>
      </c>
      <c r="P1062">
        <f t="shared" si="213"/>
        <v>1</v>
      </c>
      <c r="Q1062" t="str">
        <f t="shared" ca="1" si="214"/>
        <v/>
      </c>
      <c r="R1062" t="str">
        <f t="shared" ca="1" si="215"/>
        <v/>
      </c>
      <c r="T1062">
        <f t="shared" si="216"/>
        <v>0</v>
      </c>
      <c r="V1062">
        <v>1</v>
      </c>
      <c r="W1062" t="str">
        <f t="shared" si="219"/>
        <v/>
      </c>
    </row>
    <row r="1063" spans="1:23" outlineLevel="2" x14ac:dyDescent="0.3">
      <c r="A1063">
        <v>23.19</v>
      </c>
      <c r="I1063">
        <f t="shared" ref="I1063:I1128" si="222">IF(A1063&gt;0,A1063,"")</f>
        <v>23.19</v>
      </c>
      <c r="J1063" t="str">
        <f t="shared" ref="J1063:J1128" si="223">IF(AND(I1064&gt;I1063,I1064&gt;I1065,I1064&gt;$D$5),I1064,"")</f>
        <v/>
      </c>
      <c r="K1063" t="e">
        <f t="shared" si="220"/>
        <v>#N/A</v>
      </c>
      <c r="L1063" t="str">
        <f t="shared" ref="L1063:L1128" si="224">IF(A1063&lt;0,A1063,"")</f>
        <v/>
      </c>
      <c r="M1063" t="str">
        <f t="shared" ref="M1063:M1128" si="225">IF(AND(L1064&lt;L1063,L1064&lt;L1065,L1064&lt;$G$5),L1064,"")</f>
        <v/>
      </c>
      <c r="N1063" t="e">
        <f t="shared" si="221"/>
        <v>#N/A</v>
      </c>
      <c r="P1063">
        <f t="shared" ref="P1063:P1128" si="226">IF(A1063&gt;0,1,2)</f>
        <v>1</v>
      </c>
      <c r="Q1063" t="str">
        <f t="shared" ref="Q1063:Q1128" ca="1" si="227">IF(AND(A1064&gt;=0,A1063&lt;0),CELL("ROW",A1064),IF(AND(A1064&lt;0,A1063&gt;=0),CELL("ROW",A1064),""))</f>
        <v/>
      </c>
      <c r="R1063" t="str">
        <f t="shared" ref="R1063:R1128" ca="1" si="228">IF(ISNUMBER(K1063),IF(INT(K1063)=K1063,K1063,""),"")&amp;IF(ISNUMBER(N1063),IF(INT(N1063)=N1063,N1063,""),"")&amp;IF(ISNUMBER(Q1063),IF(INT(Q1063)=Q1063,Q1063,""),"")</f>
        <v/>
      </c>
      <c r="T1063">
        <f t="shared" ref="T1063:T1128" si="229">S1064-S1063</f>
        <v>0</v>
      </c>
      <c r="V1063">
        <v>1</v>
      </c>
      <c r="W1063" t="str">
        <f t="shared" si="219"/>
        <v/>
      </c>
    </row>
    <row r="1064" spans="1:23" outlineLevel="2" x14ac:dyDescent="0.3">
      <c r="A1064">
        <v>23.59</v>
      </c>
      <c r="I1064">
        <f t="shared" si="222"/>
        <v>23.59</v>
      </c>
      <c r="J1064" t="str">
        <f t="shared" si="223"/>
        <v/>
      </c>
      <c r="K1064" t="e">
        <f t="shared" si="220"/>
        <v>#N/A</v>
      </c>
      <c r="L1064" t="str">
        <f t="shared" si="224"/>
        <v/>
      </c>
      <c r="M1064" t="str">
        <f t="shared" si="225"/>
        <v/>
      </c>
      <c r="N1064" t="e">
        <f t="shared" si="221"/>
        <v>#N/A</v>
      </c>
      <c r="P1064">
        <f t="shared" si="226"/>
        <v>1</v>
      </c>
      <c r="Q1064" t="str">
        <f t="shared" ca="1" si="227"/>
        <v/>
      </c>
      <c r="R1064" t="str">
        <f t="shared" ca="1" si="228"/>
        <v/>
      </c>
      <c r="T1064">
        <f t="shared" si="229"/>
        <v>0</v>
      </c>
      <c r="V1064">
        <v>1</v>
      </c>
      <c r="W1064" t="str">
        <f t="shared" si="219"/>
        <v/>
      </c>
    </row>
    <row r="1065" spans="1:23" outlineLevel="2" x14ac:dyDescent="0.3">
      <c r="A1065">
        <v>22</v>
      </c>
      <c r="I1065">
        <f t="shared" si="222"/>
        <v>22</v>
      </c>
      <c r="J1065" t="str">
        <f t="shared" si="223"/>
        <v/>
      </c>
      <c r="K1065" t="e">
        <f t="shared" si="220"/>
        <v>#N/A</v>
      </c>
      <c r="L1065" t="str">
        <f t="shared" si="224"/>
        <v/>
      </c>
      <c r="M1065" t="str">
        <f t="shared" si="225"/>
        <v/>
      </c>
      <c r="N1065" t="e">
        <f t="shared" si="221"/>
        <v>#N/A</v>
      </c>
      <c r="P1065">
        <f t="shared" si="226"/>
        <v>1</v>
      </c>
      <c r="Q1065" t="str">
        <f t="shared" ca="1" si="227"/>
        <v/>
      </c>
      <c r="R1065" t="str">
        <f t="shared" ca="1" si="228"/>
        <v/>
      </c>
      <c r="T1065">
        <f t="shared" si="229"/>
        <v>0</v>
      </c>
      <c r="V1065">
        <v>1</v>
      </c>
      <c r="W1065" t="str">
        <f t="shared" si="219"/>
        <v/>
      </c>
    </row>
    <row r="1066" spans="1:23" outlineLevel="2" x14ac:dyDescent="0.3">
      <c r="A1066">
        <v>17.45</v>
      </c>
      <c r="I1066">
        <f t="shared" si="222"/>
        <v>17.45</v>
      </c>
      <c r="J1066" t="str">
        <f t="shared" si="223"/>
        <v/>
      </c>
      <c r="K1066" t="e">
        <f t="shared" si="220"/>
        <v>#N/A</v>
      </c>
      <c r="L1066" t="str">
        <f t="shared" si="224"/>
        <v/>
      </c>
      <c r="M1066" t="str">
        <f t="shared" si="225"/>
        <v/>
      </c>
      <c r="N1066" t="e">
        <f t="shared" si="221"/>
        <v>#N/A</v>
      </c>
      <c r="P1066">
        <f t="shared" si="226"/>
        <v>1</v>
      </c>
      <c r="Q1066" t="str">
        <f t="shared" ca="1" si="227"/>
        <v/>
      </c>
      <c r="R1066" t="str">
        <f t="shared" ca="1" si="228"/>
        <v/>
      </c>
      <c r="T1066">
        <f t="shared" si="229"/>
        <v>0</v>
      </c>
      <c r="V1066">
        <v>1</v>
      </c>
      <c r="W1066" t="str">
        <f t="shared" si="219"/>
        <v/>
      </c>
    </row>
    <row r="1067" spans="1:23" outlineLevel="2" x14ac:dyDescent="0.3">
      <c r="A1067">
        <v>14.88</v>
      </c>
      <c r="I1067">
        <f t="shared" si="222"/>
        <v>14.88</v>
      </c>
      <c r="J1067" t="str">
        <f t="shared" si="223"/>
        <v/>
      </c>
      <c r="K1067" t="e">
        <f t="shared" si="220"/>
        <v>#N/A</v>
      </c>
      <c r="L1067" t="str">
        <f t="shared" si="224"/>
        <v/>
      </c>
      <c r="M1067" t="str">
        <f t="shared" si="225"/>
        <v/>
      </c>
      <c r="N1067" t="e">
        <f t="shared" si="221"/>
        <v>#N/A</v>
      </c>
      <c r="P1067">
        <f t="shared" si="226"/>
        <v>1</v>
      </c>
      <c r="Q1067" t="str">
        <f t="shared" ca="1" si="227"/>
        <v/>
      </c>
      <c r="R1067" t="str">
        <f t="shared" ca="1" si="228"/>
        <v/>
      </c>
      <c r="T1067">
        <f t="shared" si="229"/>
        <v>0</v>
      </c>
      <c r="V1067">
        <v>1</v>
      </c>
      <c r="W1067" t="str">
        <f t="shared" si="219"/>
        <v/>
      </c>
    </row>
    <row r="1068" spans="1:23" outlineLevel="2" x14ac:dyDescent="0.3">
      <c r="A1068">
        <v>16.12</v>
      </c>
      <c r="I1068">
        <f t="shared" si="222"/>
        <v>16.12</v>
      </c>
      <c r="J1068" t="str">
        <f t="shared" si="223"/>
        <v/>
      </c>
      <c r="K1068" t="e">
        <f t="shared" si="220"/>
        <v>#N/A</v>
      </c>
      <c r="L1068" t="str">
        <f t="shared" si="224"/>
        <v/>
      </c>
      <c r="M1068" t="str">
        <f t="shared" si="225"/>
        <v/>
      </c>
      <c r="N1068" t="e">
        <f t="shared" si="221"/>
        <v>#N/A</v>
      </c>
      <c r="P1068">
        <f t="shared" si="226"/>
        <v>1</v>
      </c>
      <c r="Q1068" t="str">
        <f t="shared" ca="1" si="227"/>
        <v/>
      </c>
      <c r="R1068" t="str">
        <f t="shared" ca="1" si="228"/>
        <v/>
      </c>
      <c r="T1068">
        <f t="shared" si="229"/>
        <v>0</v>
      </c>
      <c r="V1068">
        <v>1</v>
      </c>
      <c r="W1068" t="str">
        <f t="shared" si="219"/>
        <v/>
      </c>
    </row>
    <row r="1069" spans="1:23" outlineLevel="2" x14ac:dyDescent="0.3">
      <c r="A1069">
        <v>17.57</v>
      </c>
      <c r="I1069">
        <f t="shared" si="222"/>
        <v>17.57</v>
      </c>
      <c r="J1069" t="str">
        <f t="shared" si="223"/>
        <v/>
      </c>
      <c r="K1069" t="e">
        <f t="shared" si="220"/>
        <v>#N/A</v>
      </c>
      <c r="L1069" t="str">
        <f t="shared" si="224"/>
        <v/>
      </c>
      <c r="M1069" t="str">
        <f t="shared" si="225"/>
        <v/>
      </c>
      <c r="N1069" t="e">
        <f t="shared" si="221"/>
        <v>#N/A</v>
      </c>
      <c r="P1069">
        <f t="shared" si="226"/>
        <v>1</v>
      </c>
      <c r="Q1069" t="str">
        <f t="shared" ca="1" si="227"/>
        <v/>
      </c>
      <c r="R1069" t="str">
        <f t="shared" ca="1" si="228"/>
        <v/>
      </c>
      <c r="T1069">
        <f t="shared" si="229"/>
        <v>0</v>
      </c>
      <c r="V1069">
        <v>1</v>
      </c>
      <c r="W1069" t="str">
        <f t="shared" si="219"/>
        <v/>
      </c>
    </row>
    <row r="1070" spans="1:23" outlineLevel="2" x14ac:dyDescent="0.3">
      <c r="A1070">
        <v>17.23</v>
      </c>
      <c r="I1070">
        <f t="shared" si="222"/>
        <v>17.23</v>
      </c>
      <c r="J1070" t="str">
        <f t="shared" si="223"/>
        <v/>
      </c>
      <c r="K1070" t="e">
        <f t="shared" si="220"/>
        <v>#N/A</v>
      </c>
      <c r="L1070" t="str">
        <f t="shared" si="224"/>
        <v/>
      </c>
      <c r="M1070" t="str">
        <f t="shared" si="225"/>
        <v/>
      </c>
      <c r="N1070" t="e">
        <f t="shared" si="221"/>
        <v>#N/A</v>
      </c>
      <c r="P1070">
        <f t="shared" si="226"/>
        <v>1</v>
      </c>
      <c r="Q1070" t="str">
        <f t="shared" ca="1" si="227"/>
        <v/>
      </c>
      <c r="R1070" t="str">
        <f t="shared" ca="1" si="228"/>
        <v/>
      </c>
      <c r="T1070">
        <f t="shared" si="229"/>
        <v>0</v>
      </c>
      <c r="V1070">
        <v>1</v>
      </c>
      <c r="W1070" t="str">
        <f t="shared" si="219"/>
        <v/>
      </c>
    </row>
    <row r="1071" spans="1:23" outlineLevel="2" x14ac:dyDescent="0.3">
      <c r="A1071">
        <v>15.93</v>
      </c>
      <c r="I1071">
        <f t="shared" si="222"/>
        <v>15.93</v>
      </c>
      <c r="J1071" t="str">
        <f t="shared" si="223"/>
        <v/>
      </c>
      <c r="K1071" t="e">
        <f t="shared" si="220"/>
        <v>#N/A</v>
      </c>
      <c r="L1071" t="str">
        <f t="shared" si="224"/>
        <v/>
      </c>
      <c r="M1071" t="str">
        <f t="shared" si="225"/>
        <v/>
      </c>
      <c r="N1071" t="e">
        <f t="shared" si="221"/>
        <v>#N/A</v>
      </c>
      <c r="P1071">
        <f t="shared" si="226"/>
        <v>1</v>
      </c>
      <c r="Q1071" t="str">
        <f t="shared" ca="1" si="227"/>
        <v/>
      </c>
      <c r="R1071" t="str">
        <f t="shared" ca="1" si="228"/>
        <v/>
      </c>
      <c r="T1071">
        <f t="shared" si="229"/>
        <v>0</v>
      </c>
      <c r="V1071">
        <v>1</v>
      </c>
      <c r="W1071" t="str">
        <f t="shared" si="219"/>
        <v/>
      </c>
    </row>
    <row r="1072" spans="1:23" outlineLevel="2" x14ac:dyDescent="0.3">
      <c r="A1072">
        <v>16.079999999999998</v>
      </c>
      <c r="I1072">
        <f t="shared" si="222"/>
        <v>16.079999999999998</v>
      </c>
      <c r="J1072" t="str">
        <f t="shared" si="223"/>
        <v/>
      </c>
      <c r="K1072" t="e">
        <f t="shared" si="220"/>
        <v>#N/A</v>
      </c>
      <c r="L1072" t="str">
        <f t="shared" si="224"/>
        <v/>
      </c>
      <c r="M1072" t="str">
        <f t="shared" si="225"/>
        <v/>
      </c>
      <c r="N1072" t="e">
        <f t="shared" si="221"/>
        <v>#N/A</v>
      </c>
      <c r="P1072">
        <f t="shared" si="226"/>
        <v>1</v>
      </c>
      <c r="Q1072" t="str">
        <f t="shared" ca="1" si="227"/>
        <v/>
      </c>
      <c r="R1072" t="str">
        <f t="shared" ca="1" si="228"/>
        <v/>
      </c>
      <c r="T1072">
        <f t="shared" si="229"/>
        <v>0</v>
      </c>
      <c r="V1072">
        <v>1</v>
      </c>
      <c r="W1072" t="str">
        <f t="shared" si="219"/>
        <v/>
      </c>
    </row>
    <row r="1073" spans="1:23" outlineLevel="2" x14ac:dyDescent="0.3">
      <c r="A1073">
        <v>18.510000000000002</v>
      </c>
      <c r="I1073">
        <f t="shared" si="222"/>
        <v>18.510000000000002</v>
      </c>
      <c r="J1073" t="str">
        <f t="shared" si="223"/>
        <v/>
      </c>
      <c r="K1073" t="e">
        <f t="shared" si="220"/>
        <v>#N/A</v>
      </c>
      <c r="L1073" t="str">
        <f t="shared" si="224"/>
        <v/>
      </c>
      <c r="M1073" t="str">
        <f t="shared" si="225"/>
        <v/>
      </c>
      <c r="N1073" t="e">
        <f t="shared" si="221"/>
        <v>#N/A</v>
      </c>
      <c r="P1073">
        <f t="shared" si="226"/>
        <v>1</v>
      </c>
      <c r="Q1073" t="str">
        <f t="shared" ca="1" si="227"/>
        <v/>
      </c>
      <c r="R1073" t="str">
        <f t="shared" ca="1" si="228"/>
        <v/>
      </c>
      <c r="T1073">
        <f t="shared" si="229"/>
        <v>0</v>
      </c>
      <c r="V1073">
        <v>1</v>
      </c>
      <c r="W1073" t="str">
        <f t="shared" si="219"/>
        <v/>
      </c>
    </row>
    <row r="1074" spans="1:23" outlineLevel="2" x14ac:dyDescent="0.3">
      <c r="A1074">
        <v>21.24</v>
      </c>
      <c r="I1074">
        <f t="shared" si="222"/>
        <v>21.24</v>
      </c>
      <c r="J1074" t="str">
        <f t="shared" si="223"/>
        <v/>
      </c>
      <c r="K1074" t="e">
        <f t="shared" si="220"/>
        <v>#N/A</v>
      </c>
      <c r="L1074" t="str">
        <f t="shared" si="224"/>
        <v/>
      </c>
      <c r="M1074" t="str">
        <f t="shared" si="225"/>
        <v/>
      </c>
      <c r="N1074" t="e">
        <f t="shared" si="221"/>
        <v>#N/A</v>
      </c>
      <c r="P1074">
        <f t="shared" si="226"/>
        <v>1</v>
      </c>
      <c r="Q1074" t="str">
        <f t="shared" ca="1" si="227"/>
        <v/>
      </c>
      <c r="R1074" t="str">
        <f t="shared" ca="1" si="228"/>
        <v/>
      </c>
      <c r="T1074">
        <f t="shared" si="229"/>
        <v>0</v>
      </c>
      <c r="V1074">
        <v>1</v>
      </c>
      <c r="W1074" t="str">
        <f t="shared" si="219"/>
        <v/>
      </c>
    </row>
    <row r="1075" spans="1:23" outlineLevel="2" x14ac:dyDescent="0.3">
      <c r="A1075">
        <v>22.82</v>
      </c>
      <c r="I1075">
        <f t="shared" si="222"/>
        <v>22.82</v>
      </c>
      <c r="J1075" t="str">
        <f t="shared" si="223"/>
        <v/>
      </c>
      <c r="K1075" t="e">
        <f t="shared" si="220"/>
        <v>#N/A</v>
      </c>
      <c r="L1075" t="str">
        <f t="shared" si="224"/>
        <v/>
      </c>
      <c r="M1075" t="str">
        <f t="shared" si="225"/>
        <v/>
      </c>
      <c r="N1075" t="e">
        <f t="shared" si="221"/>
        <v>#N/A</v>
      </c>
      <c r="P1075">
        <f t="shared" si="226"/>
        <v>1</v>
      </c>
      <c r="Q1075" t="str">
        <f t="shared" ca="1" si="227"/>
        <v/>
      </c>
      <c r="R1075" t="str">
        <f t="shared" ca="1" si="228"/>
        <v/>
      </c>
      <c r="T1075">
        <f t="shared" si="229"/>
        <v>0</v>
      </c>
      <c r="V1075">
        <v>1</v>
      </c>
      <c r="W1075" t="str">
        <f t="shared" si="219"/>
        <v/>
      </c>
    </row>
    <row r="1076" spans="1:23" outlineLevel="2" x14ac:dyDescent="0.3">
      <c r="A1076">
        <v>23.74</v>
      </c>
      <c r="I1076">
        <f t="shared" si="222"/>
        <v>23.74</v>
      </c>
      <c r="J1076" t="str">
        <f t="shared" si="223"/>
        <v/>
      </c>
      <c r="K1076" t="e">
        <f t="shared" si="220"/>
        <v>#N/A</v>
      </c>
      <c r="L1076" t="str">
        <f t="shared" si="224"/>
        <v/>
      </c>
      <c r="M1076" t="str">
        <f t="shared" si="225"/>
        <v/>
      </c>
      <c r="N1076" t="e">
        <f t="shared" si="221"/>
        <v>#N/A</v>
      </c>
      <c r="P1076">
        <f t="shared" si="226"/>
        <v>1</v>
      </c>
      <c r="Q1076" t="str">
        <f t="shared" ca="1" si="227"/>
        <v/>
      </c>
      <c r="R1076" t="str">
        <f t="shared" ca="1" si="228"/>
        <v/>
      </c>
      <c r="T1076">
        <f t="shared" si="229"/>
        <v>0</v>
      </c>
      <c r="V1076">
        <v>1</v>
      </c>
      <c r="W1076" t="str">
        <f t="shared" si="219"/>
        <v/>
      </c>
    </row>
    <row r="1077" spans="1:23" outlineLevel="2" x14ac:dyDescent="0.3">
      <c r="A1077">
        <v>23.57</v>
      </c>
      <c r="I1077">
        <f t="shared" si="222"/>
        <v>23.57</v>
      </c>
      <c r="J1077" t="str">
        <f t="shared" si="223"/>
        <v/>
      </c>
      <c r="K1077" t="e">
        <f t="shared" si="220"/>
        <v>#N/A</v>
      </c>
      <c r="L1077" t="str">
        <f t="shared" si="224"/>
        <v/>
      </c>
      <c r="M1077" t="str">
        <f t="shared" si="225"/>
        <v/>
      </c>
      <c r="N1077" t="e">
        <f t="shared" si="221"/>
        <v>#N/A</v>
      </c>
      <c r="P1077">
        <f t="shared" si="226"/>
        <v>1</v>
      </c>
      <c r="Q1077" t="str">
        <f t="shared" ca="1" si="227"/>
        <v/>
      </c>
      <c r="R1077" t="str">
        <f t="shared" ca="1" si="228"/>
        <v/>
      </c>
      <c r="T1077">
        <f t="shared" si="229"/>
        <v>0</v>
      </c>
      <c r="V1077">
        <v>1</v>
      </c>
      <c r="W1077" t="str">
        <f t="shared" si="219"/>
        <v/>
      </c>
    </row>
    <row r="1078" spans="1:23" outlineLevel="2" x14ac:dyDescent="0.3">
      <c r="A1078">
        <v>22.67</v>
      </c>
      <c r="I1078">
        <f t="shared" si="222"/>
        <v>22.67</v>
      </c>
      <c r="J1078" t="str">
        <f t="shared" si="223"/>
        <v/>
      </c>
      <c r="K1078" t="e">
        <f t="shared" si="220"/>
        <v>#N/A</v>
      </c>
      <c r="L1078" t="str">
        <f t="shared" si="224"/>
        <v/>
      </c>
      <c r="M1078" t="str">
        <f t="shared" si="225"/>
        <v/>
      </c>
      <c r="N1078" t="e">
        <f t="shared" si="221"/>
        <v>#N/A</v>
      </c>
      <c r="P1078">
        <f t="shared" si="226"/>
        <v>1</v>
      </c>
      <c r="Q1078" t="str">
        <f t="shared" ca="1" si="227"/>
        <v/>
      </c>
      <c r="R1078" t="str">
        <f t="shared" ca="1" si="228"/>
        <v/>
      </c>
      <c r="T1078">
        <f t="shared" si="229"/>
        <v>0</v>
      </c>
      <c r="V1078">
        <v>1</v>
      </c>
      <c r="W1078" t="str">
        <f t="shared" si="219"/>
        <v/>
      </c>
    </row>
    <row r="1079" spans="1:23" outlineLevel="2" x14ac:dyDescent="0.3">
      <c r="A1079">
        <v>22.61</v>
      </c>
      <c r="I1079">
        <f t="shared" si="222"/>
        <v>22.61</v>
      </c>
      <c r="J1079" t="str">
        <f t="shared" si="223"/>
        <v/>
      </c>
      <c r="K1079" t="e">
        <f t="shared" si="220"/>
        <v>#N/A</v>
      </c>
      <c r="L1079" t="str">
        <f t="shared" si="224"/>
        <v/>
      </c>
      <c r="M1079" t="str">
        <f t="shared" si="225"/>
        <v/>
      </c>
      <c r="N1079" t="e">
        <f t="shared" si="221"/>
        <v>#N/A</v>
      </c>
      <c r="P1079">
        <f t="shared" si="226"/>
        <v>1</v>
      </c>
      <c r="Q1079" t="str">
        <f t="shared" ca="1" si="227"/>
        <v/>
      </c>
      <c r="R1079" t="str">
        <f t="shared" ca="1" si="228"/>
        <v/>
      </c>
      <c r="T1079">
        <f t="shared" si="229"/>
        <v>0</v>
      </c>
      <c r="V1079">
        <v>1</v>
      </c>
      <c r="W1079" t="str">
        <f t="shared" si="219"/>
        <v/>
      </c>
    </row>
    <row r="1080" spans="1:23" outlineLevel="2" x14ac:dyDescent="0.3">
      <c r="A1080">
        <v>23.69</v>
      </c>
      <c r="I1080">
        <f t="shared" si="222"/>
        <v>23.69</v>
      </c>
      <c r="J1080" t="str">
        <f t="shared" si="223"/>
        <v/>
      </c>
      <c r="K1080" t="e">
        <f t="shared" si="220"/>
        <v>#N/A</v>
      </c>
      <c r="L1080" t="str">
        <f t="shared" si="224"/>
        <v/>
      </c>
      <c r="M1080" t="str">
        <f t="shared" si="225"/>
        <v/>
      </c>
      <c r="N1080" t="e">
        <f t="shared" si="221"/>
        <v>#N/A</v>
      </c>
      <c r="P1080">
        <f t="shared" si="226"/>
        <v>1</v>
      </c>
      <c r="Q1080" t="str">
        <f t="shared" ca="1" si="227"/>
        <v/>
      </c>
      <c r="R1080" t="str">
        <f t="shared" ca="1" si="228"/>
        <v/>
      </c>
      <c r="T1080">
        <f t="shared" si="229"/>
        <v>0</v>
      </c>
      <c r="V1080">
        <v>1</v>
      </c>
      <c r="W1080" t="str">
        <f t="shared" si="219"/>
        <v/>
      </c>
    </row>
    <row r="1081" spans="1:23" outlineLevel="2" x14ac:dyDescent="0.3">
      <c r="A1081">
        <v>25.11</v>
      </c>
      <c r="I1081">
        <f t="shared" si="222"/>
        <v>25.11</v>
      </c>
      <c r="J1081" t="str">
        <f t="shared" si="223"/>
        <v/>
      </c>
      <c r="K1081" t="e">
        <f t="shared" si="220"/>
        <v>#N/A</v>
      </c>
      <c r="L1081" t="str">
        <f t="shared" si="224"/>
        <v/>
      </c>
      <c r="M1081" t="str">
        <f t="shared" si="225"/>
        <v/>
      </c>
      <c r="N1081" t="e">
        <f t="shared" si="221"/>
        <v>#N/A</v>
      </c>
      <c r="P1081">
        <f t="shared" si="226"/>
        <v>1</v>
      </c>
      <c r="Q1081" t="str">
        <f t="shared" ca="1" si="227"/>
        <v/>
      </c>
      <c r="R1081" t="str">
        <f t="shared" ca="1" si="228"/>
        <v/>
      </c>
      <c r="T1081">
        <f t="shared" si="229"/>
        <v>0</v>
      </c>
      <c r="V1081">
        <v>1</v>
      </c>
      <c r="W1081" t="str">
        <f t="shared" si="219"/>
        <v/>
      </c>
    </row>
    <row r="1082" spans="1:23" outlineLevel="2" x14ac:dyDescent="0.3">
      <c r="A1082">
        <v>25.93</v>
      </c>
      <c r="I1082">
        <f t="shared" si="222"/>
        <v>25.93</v>
      </c>
      <c r="J1082" t="str">
        <f t="shared" si="223"/>
        <v/>
      </c>
      <c r="K1082" t="e">
        <f t="shared" ref="K1082:K1112" si="230">MATCH(J1082,$A$1:$A$10041,0)</f>
        <v>#N/A</v>
      </c>
      <c r="L1082" t="str">
        <f t="shared" si="224"/>
        <v/>
      </c>
      <c r="M1082" t="str">
        <f t="shared" si="225"/>
        <v/>
      </c>
      <c r="N1082" t="e">
        <f t="shared" ref="N1082:N1112" si="231">MATCH(M1082,$A$1:$A$10041,0)</f>
        <v>#N/A</v>
      </c>
      <c r="P1082">
        <f t="shared" si="226"/>
        <v>1</v>
      </c>
      <c r="Q1082" t="str">
        <f t="shared" ca="1" si="227"/>
        <v/>
      </c>
      <c r="R1082" t="str">
        <f t="shared" ca="1" si="228"/>
        <v/>
      </c>
      <c r="T1082">
        <f t="shared" si="229"/>
        <v>0</v>
      </c>
      <c r="V1082">
        <v>1</v>
      </c>
      <c r="W1082" t="str">
        <f t="shared" si="219"/>
        <v/>
      </c>
    </row>
    <row r="1083" spans="1:23" outlineLevel="2" x14ac:dyDescent="0.3">
      <c r="A1083">
        <v>25.53</v>
      </c>
      <c r="I1083">
        <f t="shared" si="222"/>
        <v>25.53</v>
      </c>
      <c r="J1083" t="str">
        <f t="shared" si="223"/>
        <v/>
      </c>
      <c r="K1083" t="e">
        <f t="shared" si="230"/>
        <v>#N/A</v>
      </c>
      <c r="L1083" t="str">
        <f t="shared" si="224"/>
        <v/>
      </c>
      <c r="M1083" t="str">
        <f t="shared" si="225"/>
        <v/>
      </c>
      <c r="N1083" t="e">
        <f t="shared" si="231"/>
        <v>#N/A</v>
      </c>
      <c r="P1083">
        <f t="shared" si="226"/>
        <v>1</v>
      </c>
      <c r="Q1083" t="str">
        <f t="shared" ca="1" si="227"/>
        <v/>
      </c>
      <c r="R1083" t="str">
        <f t="shared" ca="1" si="228"/>
        <v/>
      </c>
      <c r="T1083">
        <f t="shared" si="229"/>
        <v>0</v>
      </c>
      <c r="V1083">
        <v>1</v>
      </c>
      <c r="W1083" t="str">
        <f t="shared" si="219"/>
        <v/>
      </c>
    </row>
    <row r="1084" spans="1:23" outlineLevel="2" x14ac:dyDescent="0.3">
      <c r="A1084">
        <v>24.57</v>
      </c>
      <c r="I1084">
        <f t="shared" si="222"/>
        <v>24.57</v>
      </c>
      <c r="J1084" t="str">
        <f t="shared" si="223"/>
        <v/>
      </c>
      <c r="K1084" t="e">
        <f t="shared" si="230"/>
        <v>#N/A</v>
      </c>
      <c r="L1084" t="str">
        <f t="shared" si="224"/>
        <v/>
      </c>
      <c r="M1084" t="str">
        <f t="shared" si="225"/>
        <v/>
      </c>
      <c r="N1084" t="e">
        <f t="shared" si="231"/>
        <v>#N/A</v>
      </c>
      <c r="P1084">
        <f t="shared" si="226"/>
        <v>1</v>
      </c>
      <c r="Q1084" t="str">
        <f t="shared" ca="1" si="227"/>
        <v/>
      </c>
      <c r="R1084" t="str">
        <f t="shared" ca="1" si="228"/>
        <v/>
      </c>
      <c r="T1084">
        <f t="shared" si="229"/>
        <v>0</v>
      </c>
      <c r="V1084">
        <v>1</v>
      </c>
      <c r="W1084" t="str">
        <f t="shared" si="219"/>
        <v/>
      </c>
    </row>
    <row r="1085" spans="1:23" outlineLevel="2" x14ac:dyDescent="0.3">
      <c r="A1085">
        <v>24.31</v>
      </c>
      <c r="I1085">
        <f t="shared" si="222"/>
        <v>24.31</v>
      </c>
      <c r="J1085" t="str">
        <f t="shared" si="223"/>
        <v/>
      </c>
      <c r="K1085" t="e">
        <f t="shared" si="230"/>
        <v>#N/A</v>
      </c>
      <c r="L1085" t="str">
        <f t="shared" si="224"/>
        <v/>
      </c>
      <c r="M1085" t="str">
        <f t="shared" si="225"/>
        <v/>
      </c>
      <c r="N1085" t="e">
        <f t="shared" si="231"/>
        <v>#N/A</v>
      </c>
      <c r="P1085">
        <f t="shared" si="226"/>
        <v>1</v>
      </c>
      <c r="Q1085" t="str">
        <f t="shared" ca="1" si="227"/>
        <v/>
      </c>
      <c r="R1085" t="str">
        <f t="shared" ca="1" si="228"/>
        <v/>
      </c>
      <c r="T1085">
        <f t="shared" si="229"/>
        <v>0</v>
      </c>
      <c r="V1085">
        <v>1</v>
      </c>
      <c r="W1085" t="str">
        <f t="shared" si="219"/>
        <v/>
      </c>
    </row>
    <row r="1086" spans="1:23" outlineLevel="2" x14ac:dyDescent="0.3">
      <c r="A1086">
        <v>23.87</v>
      </c>
      <c r="I1086">
        <f t="shared" si="222"/>
        <v>23.87</v>
      </c>
      <c r="J1086" t="str">
        <f t="shared" si="223"/>
        <v/>
      </c>
      <c r="K1086" t="e">
        <f t="shared" si="230"/>
        <v>#N/A</v>
      </c>
      <c r="L1086" t="str">
        <f t="shared" si="224"/>
        <v/>
      </c>
      <c r="M1086" t="str">
        <f t="shared" si="225"/>
        <v/>
      </c>
      <c r="N1086" t="e">
        <f t="shared" si="231"/>
        <v>#N/A</v>
      </c>
      <c r="P1086">
        <f t="shared" si="226"/>
        <v>1</v>
      </c>
      <c r="Q1086" t="str">
        <f t="shared" ca="1" si="227"/>
        <v/>
      </c>
      <c r="R1086" t="str">
        <f t="shared" ca="1" si="228"/>
        <v/>
      </c>
      <c r="T1086">
        <f t="shared" si="229"/>
        <v>0</v>
      </c>
      <c r="V1086">
        <v>1</v>
      </c>
      <c r="W1086" t="str">
        <f t="shared" si="219"/>
        <v/>
      </c>
    </row>
    <row r="1087" spans="1:23" outlineLevel="2" x14ac:dyDescent="0.3">
      <c r="A1087">
        <v>22.7</v>
      </c>
      <c r="I1087">
        <f t="shared" si="222"/>
        <v>22.7</v>
      </c>
      <c r="J1087" t="str">
        <f t="shared" si="223"/>
        <v/>
      </c>
      <c r="K1087" t="e">
        <f t="shared" si="230"/>
        <v>#N/A</v>
      </c>
      <c r="L1087" t="str">
        <f t="shared" si="224"/>
        <v/>
      </c>
      <c r="M1087" t="str">
        <f t="shared" si="225"/>
        <v/>
      </c>
      <c r="N1087" t="e">
        <f t="shared" si="231"/>
        <v>#N/A</v>
      </c>
      <c r="P1087">
        <f t="shared" si="226"/>
        <v>1</v>
      </c>
      <c r="Q1087" t="str">
        <f t="shared" ca="1" si="227"/>
        <v/>
      </c>
      <c r="R1087" t="str">
        <f t="shared" ca="1" si="228"/>
        <v/>
      </c>
      <c r="T1087">
        <f t="shared" si="229"/>
        <v>0</v>
      </c>
      <c r="V1087">
        <v>1</v>
      </c>
      <c r="W1087" t="str">
        <f t="shared" si="219"/>
        <v/>
      </c>
    </row>
    <row r="1088" spans="1:23" outlineLevel="2" x14ac:dyDescent="0.3">
      <c r="A1088">
        <v>21.19</v>
      </c>
      <c r="I1088">
        <f t="shared" si="222"/>
        <v>21.19</v>
      </c>
      <c r="J1088" t="str">
        <f t="shared" si="223"/>
        <v/>
      </c>
      <c r="K1088" t="e">
        <f t="shared" si="230"/>
        <v>#N/A</v>
      </c>
      <c r="L1088" t="str">
        <f t="shared" si="224"/>
        <v/>
      </c>
      <c r="M1088" t="str">
        <f t="shared" si="225"/>
        <v/>
      </c>
      <c r="N1088" t="e">
        <f t="shared" si="231"/>
        <v>#N/A</v>
      </c>
      <c r="P1088">
        <f t="shared" si="226"/>
        <v>1</v>
      </c>
      <c r="Q1088" t="str">
        <f t="shared" ca="1" si="227"/>
        <v/>
      </c>
      <c r="R1088" t="str">
        <f t="shared" ca="1" si="228"/>
        <v/>
      </c>
      <c r="T1088">
        <f t="shared" si="229"/>
        <v>0</v>
      </c>
      <c r="V1088">
        <v>1</v>
      </c>
      <c r="W1088" t="str">
        <f t="shared" si="219"/>
        <v/>
      </c>
    </row>
    <row r="1089" spans="1:23" outlineLevel="2" x14ac:dyDescent="0.3">
      <c r="A1089">
        <v>20.88</v>
      </c>
      <c r="I1089">
        <f t="shared" si="222"/>
        <v>20.88</v>
      </c>
      <c r="J1089" t="str">
        <f t="shared" si="223"/>
        <v/>
      </c>
      <c r="K1089" t="e">
        <f t="shared" si="230"/>
        <v>#N/A</v>
      </c>
      <c r="L1089" t="str">
        <f t="shared" si="224"/>
        <v/>
      </c>
      <c r="M1089" t="str">
        <f t="shared" si="225"/>
        <v/>
      </c>
      <c r="N1089" t="e">
        <f t="shared" si="231"/>
        <v>#N/A</v>
      </c>
      <c r="P1089">
        <f t="shared" si="226"/>
        <v>1</v>
      </c>
      <c r="Q1089" t="str">
        <f t="shared" ca="1" si="227"/>
        <v/>
      </c>
      <c r="R1089" t="str">
        <f t="shared" ca="1" si="228"/>
        <v/>
      </c>
      <c r="T1089">
        <f t="shared" si="229"/>
        <v>0</v>
      </c>
      <c r="V1089">
        <v>1</v>
      </c>
      <c r="W1089" t="str">
        <f t="shared" si="219"/>
        <v/>
      </c>
    </row>
    <row r="1090" spans="1:23" outlineLevel="2" x14ac:dyDescent="0.3">
      <c r="A1090">
        <v>23.01</v>
      </c>
      <c r="I1090">
        <f t="shared" si="222"/>
        <v>23.01</v>
      </c>
      <c r="J1090" t="str">
        <f t="shared" si="223"/>
        <v/>
      </c>
      <c r="K1090" t="e">
        <f t="shared" si="230"/>
        <v>#N/A</v>
      </c>
      <c r="L1090" t="str">
        <f t="shared" si="224"/>
        <v/>
      </c>
      <c r="M1090" t="str">
        <f t="shared" si="225"/>
        <v/>
      </c>
      <c r="N1090" t="e">
        <f t="shared" si="231"/>
        <v>#N/A</v>
      </c>
      <c r="P1090">
        <f t="shared" si="226"/>
        <v>1</v>
      </c>
      <c r="Q1090" t="str">
        <f t="shared" ca="1" si="227"/>
        <v/>
      </c>
      <c r="R1090" t="str">
        <f t="shared" ca="1" si="228"/>
        <v/>
      </c>
      <c r="T1090">
        <f t="shared" si="229"/>
        <v>0</v>
      </c>
      <c r="V1090">
        <v>1</v>
      </c>
      <c r="W1090" t="str">
        <f t="shared" si="219"/>
        <v/>
      </c>
    </row>
    <row r="1091" spans="1:23" outlineLevel="2" x14ac:dyDescent="0.3">
      <c r="A1091">
        <v>25.12</v>
      </c>
      <c r="I1091">
        <f t="shared" si="222"/>
        <v>25.12</v>
      </c>
      <c r="J1091" t="str">
        <f t="shared" si="223"/>
        <v/>
      </c>
      <c r="K1091" t="e">
        <f t="shared" si="230"/>
        <v>#N/A</v>
      </c>
      <c r="L1091" t="str">
        <f t="shared" si="224"/>
        <v/>
      </c>
      <c r="M1091" t="str">
        <f t="shared" si="225"/>
        <v/>
      </c>
      <c r="N1091" t="e">
        <f t="shared" si="231"/>
        <v>#N/A</v>
      </c>
      <c r="P1091">
        <f t="shared" si="226"/>
        <v>1</v>
      </c>
      <c r="Q1091" t="str">
        <f t="shared" ca="1" si="227"/>
        <v/>
      </c>
      <c r="R1091" t="str">
        <f t="shared" ca="1" si="228"/>
        <v/>
      </c>
      <c r="T1091">
        <f t="shared" si="229"/>
        <v>0</v>
      </c>
      <c r="V1091">
        <v>1</v>
      </c>
      <c r="W1091" t="str">
        <f t="shared" ref="W1091:W1154" si="232">IF(AND(V1091&gt;2,V1091&lt;20),V1091,"")</f>
        <v/>
      </c>
    </row>
    <row r="1092" spans="1:23" outlineLevel="2" x14ac:dyDescent="0.3">
      <c r="A1092">
        <v>24.31</v>
      </c>
      <c r="I1092">
        <f t="shared" si="222"/>
        <v>24.31</v>
      </c>
      <c r="J1092" t="str">
        <f t="shared" si="223"/>
        <v/>
      </c>
      <c r="K1092" t="e">
        <f t="shared" si="230"/>
        <v>#N/A</v>
      </c>
      <c r="L1092" t="str">
        <f t="shared" si="224"/>
        <v/>
      </c>
      <c r="M1092" t="str">
        <f t="shared" si="225"/>
        <v/>
      </c>
      <c r="N1092" t="e">
        <f t="shared" si="231"/>
        <v>#N/A</v>
      </c>
      <c r="P1092">
        <f t="shared" si="226"/>
        <v>1</v>
      </c>
      <c r="Q1092" t="str">
        <f t="shared" ca="1" si="227"/>
        <v/>
      </c>
      <c r="R1092" t="str">
        <f t="shared" ca="1" si="228"/>
        <v/>
      </c>
      <c r="T1092">
        <f t="shared" si="229"/>
        <v>0</v>
      </c>
      <c r="V1092">
        <v>1</v>
      </c>
      <c r="W1092" t="str">
        <f t="shared" si="232"/>
        <v/>
      </c>
    </row>
    <row r="1093" spans="1:23" outlineLevel="2" x14ac:dyDescent="0.3">
      <c r="A1093">
        <v>22.09</v>
      </c>
      <c r="I1093">
        <f t="shared" si="222"/>
        <v>22.09</v>
      </c>
      <c r="J1093" t="str">
        <f t="shared" si="223"/>
        <v/>
      </c>
      <c r="K1093" t="e">
        <f t="shared" si="230"/>
        <v>#N/A</v>
      </c>
      <c r="L1093" t="str">
        <f t="shared" si="224"/>
        <v/>
      </c>
      <c r="M1093" t="str">
        <f t="shared" si="225"/>
        <v/>
      </c>
      <c r="N1093" t="e">
        <f t="shared" si="231"/>
        <v>#N/A</v>
      </c>
      <c r="P1093">
        <f t="shared" si="226"/>
        <v>1</v>
      </c>
      <c r="Q1093" t="str">
        <f t="shared" ca="1" si="227"/>
        <v/>
      </c>
      <c r="R1093" t="str">
        <f t="shared" ca="1" si="228"/>
        <v/>
      </c>
      <c r="T1093">
        <f t="shared" si="229"/>
        <v>0</v>
      </c>
      <c r="V1093">
        <v>1</v>
      </c>
      <c r="W1093" t="str">
        <f t="shared" si="232"/>
        <v/>
      </c>
    </row>
    <row r="1094" spans="1:23" outlineLevel="2" x14ac:dyDescent="0.3">
      <c r="A1094">
        <v>21.36</v>
      </c>
      <c r="I1094">
        <f t="shared" si="222"/>
        <v>21.36</v>
      </c>
      <c r="J1094" t="str">
        <f t="shared" si="223"/>
        <v/>
      </c>
      <c r="K1094" t="e">
        <f t="shared" si="230"/>
        <v>#N/A</v>
      </c>
      <c r="L1094" t="str">
        <f t="shared" si="224"/>
        <v/>
      </c>
      <c r="M1094" t="str">
        <f t="shared" si="225"/>
        <v/>
      </c>
      <c r="N1094" t="e">
        <f t="shared" si="231"/>
        <v>#N/A</v>
      </c>
      <c r="P1094">
        <f t="shared" si="226"/>
        <v>1</v>
      </c>
      <c r="Q1094" t="str">
        <f t="shared" ca="1" si="227"/>
        <v/>
      </c>
      <c r="R1094" t="str">
        <f t="shared" ca="1" si="228"/>
        <v/>
      </c>
      <c r="T1094">
        <f t="shared" si="229"/>
        <v>0</v>
      </c>
      <c r="V1094">
        <v>1</v>
      </c>
      <c r="W1094" t="str">
        <f t="shared" si="232"/>
        <v/>
      </c>
    </row>
    <row r="1095" spans="1:23" outlineLevel="2" x14ac:dyDescent="0.3">
      <c r="A1095">
        <v>22.48</v>
      </c>
      <c r="I1095">
        <f t="shared" si="222"/>
        <v>22.48</v>
      </c>
      <c r="J1095" t="str">
        <f t="shared" si="223"/>
        <v/>
      </c>
      <c r="K1095" t="e">
        <f t="shared" si="230"/>
        <v>#N/A</v>
      </c>
      <c r="L1095" t="str">
        <f t="shared" si="224"/>
        <v/>
      </c>
      <c r="M1095" t="str">
        <f t="shared" si="225"/>
        <v/>
      </c>
      <c r="N1095" t="e">
        <f t="shared" si="231"/>
        <v>#N/A</v>
      </c>
      <c r="P1095">
        <f t="shared" si="226"/>
        <v>1</v>
      </c>
      <c r="Q1095" t="str">
        <f t="shared" ca="1" si="227"/>
        <v/>
      </c>
      <c r="R1095" t="str">
        <f t="shared" ca="1" si="228"/>
        <v/>
      </c>
      <c r="T1095">
        <f t="shared" si="229"/>
        <v>0</v>
      </c>
      <c r="V1095">
        <v>1</v>
      </c>
      <c r="W1095" t="str">
        <f t="shared" si="232"/>
        <v/>
      </c>
    </row>
    <row r="1096" spans="1:23" outlineLevel="2" x14ac:dyDescent="0.3">
      <c r="A1096">
        <v>24.07</v>
      </c>
      <c r="I1096">
        <f t="shared" si="222"/>
        <v>24.07</v>
      </c>
      <c r="J1096" t="str">
        <f t="shared" si="223"/>
        <v/>
      </c>
      <c r="K1096" t="e">
        <f t="shared" si="230"/>
        <v>#N/A</v>
      </c>
      <c r="L1096" t="str">
        <f t="shared" si="224"/>
        <v/>
      </c>
      <c r="M1096" t="str">
        <f t="shared" si="225"/>
        <v/>
      </c>
      <c r="N1096" t="e">
        <f t="shared" si="231"/>
        <v>#N/A</v>
      </c>
      <c r="P1096">
        <f t="shared" si="226"/>
        <v>1</v>
      </c>
      <c r="Q1096" t="str">
        <f t="shared" ca="1" si="227"/>
        <v/>
      </c>
      <c r="R1096" t="str">
        <f t="shared" ca="1" si="228"/>
        <v/>
      </c>
      <c r="T1096">
        <f t="shared" si="229"/>
        <v>0</v>
      </c>
      <c r="V1096">
        <v>1</v>
      </c>
      <c r="W1096" t="str">
        <f t="shared" si="232"/>
        <v/>
      </c>
    </row>
    <row r="1097" spans="1:23" outlineLevel="2" x14ac:dyDescent="0.3">
      <c r="A1097">
        <v>24.63</v>
      </c>
      <c r="I1097">
        <f t="shared" si="222"/>
        <v>24.63</v>
      </c>
      <c r="J1097" t="str">
        <f t="shared" si="223"/>
        <v/>
      </c>
      <c r="K1097" t="e">
        <f t="shared" si="230"/>
        <v>#N/A</v>
      </c>
      <c r="L1097" t="str">
        <f t="shared" si="224"/>
        <v/>
      </c>
      <c r="M1097" t="str">
        <f t="shared" si="225"/>
        <v/>
      </c>
      <c r="N1097" t="e">
        <f t="shared" si="231"/>
        <v>#N/A</v>
      </c>
      <c r="P1097">
        <f t="shared" si="226"/>
        <v>1</v>
      </c>
      <c r="Q1097" t="str">
        <f t="shared" ca="1" si="227"/>
        <v/>
      </c>
      <c r="R1097" t="str">
        <f t="shared" ca="1" si="228"/>
        <v/>
      </c>
      <c r="T1097">
        <f t="shared" si="229"/>
        <v>0</v>
      </c>
      <c r="V1097">
        <v>1</v>
      </c>
      <c r="W1097" t="str">
        <f t="shared" si="232"/>
        <v/>
      </c>
    </row>
    <row r="1098" spans="1:23" outlineLevel="2" x14ac:dyDescent="0.3">
      <c r="A1098">
        <v>23.41</v>
      </c>
      <c r="I1098">
        <f t="shared" si="222"/>
        <v>23.41</v>
      </c>
      <c r="J1098" t="str">
        <f t="shared" si="223"/>
        <v/>
      </c>
      <c r="K1098" t="e">
        <f t="shared" si="230"/>
        <v>#N/A</v>
      </c>
      <c r="L1098" t="str">
        <f t="shared" si="224"/>
        <v/>
      </c>
      <c r="M1098" t="str">
        <f t="shared" si="225"/>
        <v/>
      </c>
      <c r="N1098" t="e">
        <f t="shared" si="231"/>
        <v>#N/A</v>
      </c>
      <c r="P1098">
        <f t="shared" si="226"/>
        <v>1</v>
      </c>
      <c r="Q1098" t="str">
        <f t="shared" ca="1" si="227"/>
        <v/>
      </c>
      <c r="R1098" t="str">
        <f t="shared" ca="1" si="228"/>
        <v/>
      </c>
      <c r="T1098">
        <f t="shared" si="229"/>
        <v>0</v>
      </c>
      <c r="V1098">
        <v>1</v>
      </c>
      <c r="W1098" t="str">
        <f t="shared" si="232"/>
        <v/>
      </c>
    </row>
    <row r="1099" spans="1:23" outlineLevel="2" x14ac:dyDescent="0.3">
      <c r="A1099">
        <v>21.12</v>
      </c>
      <c r="I1099">
        <f t="shared" si="222"/>
        <v>21.12</v>
      </c>
      <c r="J1099" t="str">
        <f t="shared" si="223"/>
        <v/>
      </c>
      <c r="K1099" t="e">
        <f t="shared" si="230"/>
        <v>#N/A</v>
      </c>
      <c r="L1099" t="str">
        <f t="shared" si="224"/>
        <v/>
      </c>
      <c r="M1099" t="str">
        <f t="shared" si="225"/>
        <v/>
      </c>
      <c r="N1099" t="e">
        <f t="shared" si="231"/>
        <v>#N/A</v>
      </c>
      <c r="P1099">
        <f t="shared" si="226"/>
        <v>1</v>
      </c>
      <c r="Q1099" t="str">
        <f t="shared" ca="1" si="227"/>
        <v/>
      </c>
      <c r="R1099" t="str">
        <f t="shared" ca="1" si="228"/>
        <v/>
      </c>
      <c r="T1099">
        <f t="shared" si="229"/>
        <v>0</v>
      </c>
      <c r="V1099">
        <v>1</v>
      </c>
      <c r="W1099" t="str">
        <f t="shared" si="232"/>
        <v/>
      </c>
    </row>
    <row r="1100" spans="1:23" outlineLevel="2" x14ac:dyDescent="0.3">
      <c r="A1100">
        <v>18.809999999999999</v>
      </c>
      <c r="I1100">
        <f t="shared" si="222"/>
        <v>18.809999999999999</v>
      </c>
      <c r="J1100" t="str">
        <f t="shared" si="223"/>
        <v/>
      </c>
      <c r="K1100" t="e">
        <f t="shared" si="230"/>
        <v>#N/A</v>
      </c>
      <c r="L1100" t="str">
        <f t="shared" si="224"/>
        <v/>
      </c>
      <c r="M1100" t="str">
        <f t="shared" si="225"/>
        <v/>
      </c>
      <c r="N1100" t="e">
        <f t="shared" si="231"/>
        <v>#N/A</v>
      </c>
      <c r="P1100">
        <f t="shared" si="226"/>
        <v>1</v>
      </c>
      <c r="Q1100" t="str">
        <f t="shared" ca="1" si="227"/>
        <v/>
      </c>
      <c r="R1100" t="str">
        <f t="shared" ca="1" si="228"/>
        <v/>
      </c>
      <c r="T1100">
        <f t="shared" si="229"/>
        <v>0</v>
      </c>
      <c r="V1100">
        <v>1</v>
      </c>
      <c r="W1100" t="str">
        <f t="shared" si="232"/>
        <v/>
      </c>
    </row>
    <row r="1101" spans="1:23" outlineLevel="2" x14ac:dyDescent="0.3">
      <c r="A1101">
        <v>16.559999999999999</v>
      </c>
      <c r="I1101">
        <f t="shared" si="222"/>
        <v>16.559999999999999</v>
      </c>
      <c r="J1101" t="str">
        <f t="shared" si="223"/>
        <v/>
      </c>
      <c r="K1101" t="e">
        <f t="shared" si="230"/>
        <v>#N/A</v>
      </c>
      <c r="L1101" t="str">
        <f t="shared" si="224"/>
        <v/>
      </c>
      <c r="M1101" t="str">
        <f t="shared" si="225"/>
        <v/>
      </c>
      <c r="N1101" t="e">
        <f t="shared" si="231"/>
        <v>#N/A</v>
      </c>
      <c r="P1101">
        <f t="shared" si="226"/>
        <v>1</v>
      </c>
      <c r="Q1101" t="str">
        <f t="shared" ca="1" si="227"/>
        <v/>
      </c>
      <c r="R1101" t="str">
        <f t="shared" ca="1" si="228"/>
        <v/>
      </c>
      <c r="T1101">
        <f t="shared" si="229"/>
        <v>0</v>
      </c>
      <c r="V1101">
        <v>1</v>
      </c>
      <c r="W1101" t="str">
        <f t="shared" si="232"/>
        <v/>
      </c>
    </row>
    <row r="1102" spans="1:23" outlineLevel="2" x14ac:dyDescent="0.3">
      <c r="A1102">
        <v>15.64</v>
      </c>
      <c r="I1102">
        <f t="shared" si="222"/>
        <v>15.64</v>
      </c>
      <c r="J1102" t="str">
        <f t="shared" si="223"/>
        <v/>
      </c>
      <c r="K1102" t="e">
        <f t="shared" si="230"/>
        <v>#N/A</v>
      </c>
      <c r="L1102" t="str">
        <f t="shared" si="224"/>
        <v/>
      </c>
      <c r="M1102" t="str">
        <f t="shared" si="225"/>
        <v/>
      </c>
      <c r="N1102" t="e">
        <f t="shared" si="231"/>
        <v>#N/A</v>
      </c>
      <c r="P1102">
        <f t="shared" si="226"/>
        <v>1</v>
      </c>
      <c r="Q1102" t="str">
        <f t="shared" ca="1" si="227"/>
        <v/>
      </c>
      <c r="R1102" t="str">
        <f t="shared" ca="1" si="228"/>
        <v/>
      </c>
      <c r="T1102">
        <f t="shared" si="229"/>
        <v>0</v>
      </c>
      <c r="V1102">
        <v>1</v>
      </c>
      <c r="W1102" t="str">
        <f t="shared" si="232"/>
        <v/>
      </c>
    </row>
    <row r="1103" spans="1:23" outlineLevel="2" x14ac:dyDescent="0.3">
      <c r="A1103">
        <v>15.49</v>
      </c>
      <c r="I1103">
        <f t="shared" si="222"/>
        <v>15.49</v>
      </c>
      <c r="J1103" t="str">
        <f t="shared" si="223"/>
        <v/>
      </c>
      <c r="K1103" t="e">
        <f t="shared" si="230"/>
        <v>#N/A</v>
      </c>
      <c r="L1103" t="str">
        <f t="shared" si="224"/>
        <v/>
      </c>
      <c r="M1103" t="str">
        <f t="shared" si="225"/>
        <v/>
      </c>
      <c r="N1103" t="e">
        <f t="shared" si="231"/>
        <v>#N/A</v>
      </c>
      <c r="P1103">
        <f t="shared" si="226"/>
        <v>1</v>
      </c>
      <c r="Q1103" t="str">
        <f t="shared" ca="1" si="227"/>
        <v/>
      </c>
      <c r="R1103" t="str">
        <f t="shared" ca="1" si="228"/>
        <v/>
      </c>
      <c r="T1103">
        <f t="shared" si="229"/>
        <v>0</v>
      </c>
      <c r="V1103">
        <v>1</v>
      </c>
      <c r="W1103" t="str">
        <f t="shared" si="232"/>
        <v/>
      </c>
    </row>
    <row r="1104" spans="1:23" outlineLevel="2" x14ac:dyDescent="0.3">
      <c r="A1104">
        <v>14.83</v>
      </c>
      <c r="I1104">
        <f t="shared" si="222"/>
        <v>14.83</v>
      </c>
      <c r="J1104" t="str">
        <f t="shared" si="223"/>
        <v/>
      </c>
      <c r="K1104" t="e">
        <f t="shared" si="230"/>
        <v>#N/A</v>
      </c>
      <c r="L1104" t="str">
        <f t="shared" si="224"/>
        <v/>
      </c>
      <c r="M1104" t="str">
        <f t="shared" si="225"/>
        <v/>
      </c>
      <c r="N1104" t="e">
        <f t="shared" si="231"/>
        <v>#N/A</v>
      </c>
      <c r="P1104">
        <f t="shared" si="226"/>
        <v>1</v>
      </c>
      <c r="Q1104" t="str">
        <f t="shared" ca="1" si="227"/>
        <v/>
      </c>
      <c r="R1104" t="str">
        <f t="shared" ca="1" si="228"/>
        <v/>
      </c>
      <c r="T1104">
        <f t="shared" si="229"/>
        <v>0</v>
      </c>
      <c r="V1104">
        <v>1</v>
      </c>
      <c r="W1104" t="str">
        <f t="shared" si="232"/>
        <v/>
      </c>
    </row>
    <row r="1105" spans="1:23" outlineLevel="2" x14ac:dyDescent="0.3">
      <c r="A1105">
        <v>14.32</v>
      </c>
      <c r="I1105">
        <f t="shared" si="222"/>
        <v>14.32</v>
      </c>
      <c r="J1105" t="str">
        <f t="shared" si="223"/>
        <v/>
      </c>
      <c r="K1105" t="e">
        <f t="shared" si="230"/>
        <v>#N/A</v>
      </c>
      <c r="L1105" t="str">
        <f t="shared" si="224"/>
        <v/>
      </c>
      <c r="M1105" t="str">
        <f t="shared" si="225"/>
        <v/>
      </c>
      <c r="N1105" t="e">
        <f t="shared" si="231"/>
        <v>#N/A</v>
      </c>
      <c r="P1105">
        <f t="shared" si="226"/>
        <v>1</v>
      </c>
      <c r="Q1105" t="str">
        <f t="shared" ca="1" si="227"/>
        <v/>
      </c>
      <c r="R1105" t="str">
        <f t="shared" ca="1" si="228"/>
        <v/>
      </c>
      <c r="T1105">
        <f t="shared" si="229"/>
        <v>0</v>
      </c>
      <c r="V1105">
        <v>1</v>
      </c>
      <c r="W1105" t="str">
        <f t="shared" si="232"/>
        <v/>
      </c>
    </row>
    <row r="1106" spans="1:23" outlineLevel="2" x14ac:dyDescent="0.3">
      <c r="A1106">
        <v>14.67</v>
      </c>
      <c r="I1106">
        <f t="shared" si="222"/>
        <v>14.67</v>
      </c>
      <c r="J1106" t="str">
        <f t="shared" si="223"/>
        <v/>
      </c>
      <c r="K1106" t="e">
        <f t="shared" si="230"/>
        <v>#N/A</v>
      </c>
      <c r="L1106" t="str">
        <f t="shared" si="224"/>
        <v/>
      </c>
      <c r="M1106" t="str">
        <f t="shared" si="225"/>
        <v/>
      </c>
      <c r="N1106" t="e">
        <f t="shared" si="231"/>
        <v>#N/A</v>
      </c>
      <c r="P1106">
        <f t="shared" si="226"/>
        <v>1</v>
      </c>
      <c r="Q1106" t="str">
        <f t="shared" ca="1" si="227"/>
        <v/>
      </c>
      <c r="R1106" t="str">
        <f t="shared" ca="1" si="228"/>
        <v/>
      </c>
      <c r="T1106">
        <f t="shared" si="229"/>
        <v>0</v>
      </c>
      <c r="V1106">
        <v>1</v>
      </c>
      <c r="W1106" t="str">
        <f t="shared" si="232"/>
        <v/>
      </c>
    </row>
    <row r="1107" spans="1:23" outlineLevel="2" x14ac:dyDescent="0.3">
      <c r="A1107">
        <v>14.98</v>
      </c>
      <c r="I1107">
        <f t="shared" si="222"/>
        <v>14.98</v>
      </c>
      <c r="J1107" t="str">
        <f t="shared" si="223"/>
        <v/>
      </c>
      <c r="K1107" t="e">
        <f t="shared" si="230"/>
        <v>#N/A</v>
      </c>
      <c r="L1107" t="str">
        <f t="shared" si="224"/>
        <v/>
      </c>
      <c r="M1107" t="str">
        <f t="shared" si="225"/>
        <v/>
      </c>
      <c r="N1107" t="e">
        <f t="shared" si="231"/>
        <v>#N/A</v>
      </c>
      <c r="P1107">
        <f t="shared" si="226"/>
        <v>1</v>
      </c>
      <c r="Q1107" t="str">
        <f t="shared" ca="1" si="227"/>
        <v/>
      </c>
      <c r="R1107" t="str">
        <f t="shared" ca="1" si="228"/>
        <v/>
      </c>
      <c r="T1107">
        <f t="shared" si="229"/>
        <v>0</v>
      </c>
      <c r="V1107">
        <v>1</v>
      </c>
      <c r="W1107" t="str">
        <f t="shared" si="232"/>
        <v/>
      </c>
    </row>
    <row r="1108" spans="1:23" outlineLevel="2" x14ac:dyDescent="0.3">
      <c r="A1108">
        <v>15.2</v>
      </c>
      <c r="I1108">
        <f t="shared" si="222"/>
        <v>15.2</v>
      </c>
      <c r="J1108" t="str">
        <f t="shared" si="223"/>
        <v/>
      </c>
      <c r="K1108" t="e">
        <f t="shared" si="230"/>
        <v>#N/A</v>
      </c>
      <c r="L1108" t="str">
        <f t="shared" si="224"/>
        <v/>
      </c>
      <c r="M1108" t="str">
        <f t="shared" si="225"/>
        <v/>
      </c>
      <c r="N1108" t="e">
        <f t="shared" si="231"/>
        <v>#N/A</v>
      </c>
      <c r="P1108">
        <f t="shared" si="226"/>
        <v>1</v>
      </c>
      <c r="Q1108" t="str">
        <f t="shared" ca="1" si="227"/>
        <v/>
      </c>
      <c r="R1108" t="str">
        <f t="shared" ca="1" si="228"/>
        <v/>
      </c>
      <c r="T1108">
        <f t="shared" si="229"/>
        <v>0</v>
      </c>
      <c r="V1108">
        <v>1</v>
      </c>
      <c r="W1108" t="str">
        <f t="shared" si="232"/>
        <v/>
      </c>
    </row>
    <row r="1109" spans="1:23" outlineLevel="2" x14ac:dyDescent="0.3">
      <c r="A1109">
        <v>15.16</v>
      </c>
      <c r="I1109">
        <f t="shared" si="222"/>
        <v>15.16</v>
      </c>
      <c r="J1109" t="str">
        <f t="shared" si="223"/>
        <v/>
      </c>
      <c r="K1109" t="e">
        <f t="shared" si="230"/>
        <v>#N/A</v>
      </c>
      <c r="L1109" t="str">
        <f t="shared" si="224"/>
        <v/>
      </c>
      <c r="M1109" t="str">
        <f t="shared" si="225"/>
        <v/>
      </c>
      <c r="N1109" t="e">
        <f t="shared" si="231"/>
        <v>#N/A</v>
      </c>
      <c r="P1109">
        <f t="shared" si="226"/>
        <v>1</v>
      </c>
      <c r="Q1109" t="str">
        <f t="shared" ca="1" si="227"/>
        <v/>
      </c>
      <c r="R1109" t="str">
        <f t="shared" ca="1" si="228"/>
        <v/>
      </c>
      <c r="T1109">
        <f t="shared" si="229"/>
        <v>0</v>
      </c>
      <c r="V1109">
        <v>1</v>
      </c>
      <c r="W1109" t="str">
        <f t="shared" si="232"/>
        <v/>
      </c>
    </row>
    <row r="1110" spans="1:23" outlineLevel="2" x14ac:dyDescent="0.3">
      <c r="A1110">
        <v>14.76</v>
      </c>
      <c r="I1110">
        <f t="shared" si="222"/>
        <v>14.76</v>
      </c>
      <c r="J1110" t="str">
        <f t="shared" si="223"/>
        <v/>
      </c>
      <c r="K1110" t="e">
        <f t="shared" si="230"/>
        <v>#N/A</v>
      </c>
      <c r="L1110" t="str">
        <f t="shared" si="224"/>
        <v/>
      </c>
      <c r="M1110" t="str">
        <f t="shared" si="225"/>
        <v/>
      </c>
      <c r="N1110" t="e">
        <f t="shared" si="231"/>
        <v>#N/A</v>
      </c>
      <c r="P1110">
        <f t="shared" si="226"/>
        <v>1</v>
      </c>
      <c r="Q1110" t="str">
        <f t="shared" ca="1" si="227"/>
        <v/>
      </c>
      <c r="R1110" t="str">
        <f t="shared" ca="1" si="228"/>
        <v/>
      </c>
      <c r="T1110">
        <f t="shared" si="229"/>
        <v>0</v>
      </c>
      <c r="V1110">
        <v>1</v>
      </c>
      <c r="W1110" t="str">
        <f t="shared" si="232"/>
        <v/>
      </c>
    </row>
    <row r="1111" spans="1:23" outlineLevel="2" x14ac:dyDescent="0.3">
      <c r="A1111">
        <v>14.47</v>
      </c>
      <c r="I1111">
        <f t="shared" si="222"/>
        <v>14.47</v>
      </c>
      <c r="J1111" t="str">
        <f>IF(AND(I1112&gt;I1111,I1112&gt;I1114,I1112&gt;$D$5),I1112,"")</f>
        <v/>
      </c>
      <c r="K1111" t="e">
        <f t="shared" si="230"/>
        <v>#N/A</v>
      </c>
      <c r="L1111" t="str">
        <f t="shared" si="224"/>
        <v/>
      </c>
      <c r="M1111" t="str">
        <f>IF(AND(L1112&lt;L1111,L1112&lt;L1114,L1112&lt;$G$5),L1112,"")</f>
        <v/>
      </c>
      <c r="N1111" t="e">
        <f t="shared" si="231"/>
        <v>#N/A</v>
      </c>
      <c r="P1111">
        <f t="shared" si="226"/>
        <v>1</v>
      </c>
      <c r="Q1111" t="str">
        <f t="shared" ca="1" si="227"/>
        <v/>
      </c>
      <c r="R1111" t="str">
        <f t="shared" ca="1" si="228"/>
        <v/>
      </c>
      <c r="T1111">
        <f t="shared" si="229"/>
        <v>0</v>
      </c>
      <c r="V1111">
        <v>1</v>
      </c>
      <c r="W1111" t="str">
        <f t="shared" si="232"/>
        <v/>
      </c>
    </row>
    <row r="1112" spans="1:23" outlineLevel="2" x14ac:dyDescent="0.3">
      <c r="A1112">
        <v>13.19</v>
      </c>
      <c r="I1112">
        <f t="shared" si="222"/>
        <v>13.19</v>
      </c>
      <c r="J1112" t="str">
        <f>IF(AND(I1114&gt;I1112,I1114&gt;I1115,I1114&gt;$D$5),I1114,"")</f>
        <v/>
      </c>
      <c r="K1112" t="e">
        <f t="shared" si="230"/>
        <v>#N/A</v>
      </c>
      <c r="L1112" t="str">
        <f t="shared" si="224"/>
        <v/>
      </c>
      <c r="M1112" t="str">
        <f>IF(AND(L1114&lt;L1112,L1114&lt;L1115,L1114&lt;$G$5),L1114,"")</f>
        <v/>
      </c>
      <c r="N1112" t="e">
        <f t="shared" si="231"/>
        <v>#N/A</v>
      </c>
      <c r="P1112">
        <f t="shared" si="226"/>
        <v>1</v>
      </c>
      <c r="Q1112">
        <f ca="1">IF(AND(A1114&gt;=0,A1112&lt;0),CELL("ROW",A1114),IF(AND(A1114&lt;0,A1112&gt;=0),CELL("ROW",A1114),""))</f>
        <v>1114</v>
      </c>
      <c r="R1112" t="str">
        <f t="shared" ca="1" si="228"/>
        <v>1114</v>
      </c>
      <c r="T1112">
        <f>S1114-S1112</f>
        <v>0</v>
      </c>
      <c r="V1112">
        <v>1</v>
      </c>
      <c r="W1112" t="str">
        <f t="shared" si="232"/>
        <v/>
      </c>
    </row>
    <row r="1113" spans="1:23" outlineLevel="1" x14ac:dyDescent="0.3">
      <c r="O1113" s="1" t="s">
        <v>26</v>
      </c>
      <c r="P1113">
        <f>SUBTOTAL(3,P1050:P1112)</f>
        <v>63</v>
      </c>
      <c r="V1113">
        <v>63</v>
      </c>
      <c r="W1113" t="str">
        <f t="shared" si="232"/>
        <v/>
      </c>
    </row>
    <row r="1114" spans="1:23" outlineLevel="2" x14ac:dyDescent="0.3">
      <c r="A1114">
        <v>-14.14</v>
      </c>
      <c r="I1114" t="str">
        <f t="shared" si="222"/>
        <v/>
      </c>
      <c r="J1114" t="str">
        <f t="shared" si="223"/>
        <v/>
      </c>
      <c r="K1114" t="e">
        <f t="shared" ref="K1114:K1122" si="233">MATCH(J1114,$A$1:$A$10041,0)</f>
        <v>#N/A</v>
      </c>
      <c r="L1114">
        <f t="shared" si="224"/>
        <v>-14.14</v>
      </c>
      <c r="M1114" t="str">
        <f t="shared" si="225"/>
        <v/>
      </c>
      <c r="N1114" t="e">
        <f t="shared" ref="N1114:N1122" si="234">MATCH(M1114,$A$1:$A$10041,0)</f>
        <v>#N/A</v>
      </c>
      <c r="P1114">
        <f t="shared" si="226"/>
        <v>2</v>
      </c>
      <c r="Q1114" t="str">
        <f t="shared" ca="1" si="227"/>
        <v/>
      </c>
      <c r="R1114" t="str">
        <f t="shared" ca="1" si="228"/>
        <v/>
      </c>
      <c r="T1114">
        <f t="shared" si="229"/>
        <v>0</v>
      </c>
      <c r="V1114">
        <v>2</v>
      </c>
      <c r="W1114" t="str">
        <f t="shared" si="232"/>
        <v/>
      </c>
    </row>
    <row r="1115" spans="1:23" outlineLevel="2" x14ac:dyDescent="0.3">
      <c r="A1115">
        <v>-33.22</v>
      </c>
      <c r="I1115" t="str">
        <f t="shared" si="222"/>
        <v/>
      </c>
      <c r="J1115" t="str">
        <f t="shared" si="223"/>
        <v/>
      </c>
      <c r="K1115" t="e">
        <f t="shared" si="233"/>
        <v>#N/A</v>
      </c>
      <c r="L1115">
        <f t="shared" si="224"/>
        <v>-33.22</v>
      </c>
      <c r="M1115" t="str">
        <f t="shared" si="225"/>
        <v/>
      </c>
      <c r="N1115" t="e">
        <f t="shared" si="234"/>
        <v>#N/A</v>
      </c>
      <c r="P1115">
        <f t="shared" si="226"/>
        <v>2</v>
      </c>
      <c r="Q1115" t="str">
        <f t="shared" ca="1" si="227"/>
        <v/>
      </c>
      <c r="R1115" t="str">
        <f t="shared" ca="1" si="228"/>
        <v/>
      </c>
      <c r="T1115">
        <f t="shared" si="229"/>
        <v>0</v>
      </c>
      <c r="V1115">
        <v>2</v>
      </c>
      <c r="W1115" t="str">
        <f t="shared" si="232"/>
        <v/>
      </c>
    </row>
    <row r="1116" spans="1:23" outlineLevel="2" x14ac:dyDescent="0.3">
      <c r="A1116">
        <v>-57.46</v>
      </c>
      <c r="I1116" t="str">
        <f t="shared" si="222"/>
        <v/>
      </c>
      <c r="J1116" t="str">
        <f t="shared" si="223"/>
        <v/>
      </c>
      <c r="K1116" t="e">
        <f t="shared" si="233"/>
        <v>#N/A</v>
      </c>
      <c r="L1116">
        <f t="shared" si="224"/>
        <v>-57.46</v>
      </c>
      <c r="M1116" t="str">
        <f t="shared" si="225"/>
        <v/>
      </c>
      <c r="N1116" t="e">
        <f t="shared" si="234"/>
        <v>#N/A</v>
      </c>
      <c r="P1116">
        <f t="shared" si="226"/>
        <v>2</v>
      </c>
      <c r="Q1116" t="str">
        <f t="shared" ca="1" si="227"/>
        <v/>
      </c>
      <c r="R1116" t="str">
        <f t="shared" ca="1" si="228"/>
        <v/>
      </c>
      <c r="T1116">
        <f t="shared" si="229"/>
        <v>0</v>
      </c>
      <c r="V1116">
        <v>2</v>
      </c>
      <c r="W1116" t="str">
        <f t="shared" si="232"/>
        <v/>
      </c>
    </row>
    <row r="1117" spans="1:23" outlineLevel="2" x14ac:dyDescent="0.3">
      <c r="A1117">
        <v>-76.39</v>
      </c>
      <c r="I1117" t="str">
        <f t="shared" si="222"/>
        <v/>
      </c>
      <c r="J1117" t="str">
        <f t="shared" si="223"/>
        <v/>
      </c>
      <c r="K1117" t="e">
        <f t="shared" si="233"/>
        <v>#N/A</v>
      </c>
      <c r="L1117">
        <f t="shared" si="224"/>
        <v>-76.39</v>
      </c>
      <c r="M1117" t="str">
        <f t="shared" si="225"/>
        <v/>
      </c>
      <c r="N1117" t="e">
        <f t="shared" si="234"/>
        <v>#N/A</v>
      </c>
      <c r="P1117">
        <f t="shared" si="226"/>
        <v>2</v>
      </c>
      <c r="Q1117" t="str">
        <f t="shared" ca="1" si="227"/>
        <v/>
      </c>
      <c r="R1117" t="str">
        <f t="shared" ca="1" si="228"/>
        <v/>
      </c>
      <c r="T1117">
        <f t="shared" si="229"/>
        <v>0</v>
      </c>
      <c r="V1117">
        <v>2</v>
      </c>
      <c r="W1117" t="str">
        <f t="shared" si="232"/>
        <v/>
      </c>
    </row>
    <row r="1118" spans="1:23" outlineLevel="2" x14ac:dyDescent="0.3">
      <c r="A1118">
        <v>-83.36</v>
      </c>
      <c r="I1118" t="str">
        <f t="shared" si="222"/>
        <v/>
      </c>
      <c r="J1118" t="str">
        <f t="shared" si="223"/>
        <v/>
      </c>
      <c r="K1118" t="e">
        <f t="shared" si="233"/>
        <v>#N/A</v>
      </c>
      <c r="L1118">
        <f t="shared" si="224"/>
        <v>-83.36</v>
      </c>
      <c r="M1118" t="str">
        <f t="shared" si="225"/>
        <v/>
      </c>
      <c r="N1118" t="e">
        <f t="shared" si="234"/>
        <v>#N/A</v>
      </c>
      <c r="P1118">
        <f t="shared" si="226"/>
        <v>2</v>
      </c>
      <c r="Q1118" t="str">
        <f t="shared" ca="1" si="227"/>
        <v/>
      </c>
      <c r="R1118" t="str">
        <f t="shared" ca="1" si="228"/>
        <v/>
      </c>
      <c r="T1118">
        <f t="shared" si="229"/>
        <v>0</v>
      </c>
      <c r="V1118">
        <v>2</v>
      </c>
      <c r="W1118" t="str">
        <f t="shared" si="232"/>
        <v/>
      </c>
    </row>
    <row r="1119" spans="1:23" outlineLevel="2" x14ac:dyDescent="0.3">
      <c r="A1119">
        <v>-77.31</v>
      </c>
      <c r="I1119" t="str">
        <f t="shared" si="222"/>
        <v/>
      </c>
      <c r="J1119" t="str">
        <f t="shared" si="223"/>
        <v/>
      </c>
      <c r="K1119" t="e">
        <f t="shared" si="233"/>
        <v>#N/A</v>
      </c>
      <c r="L1119">
        <f t="shared" si="224"/>
        <v>-77.31</v>
      </c>
      <c r="M1119" t="str">
        <f t="shared" si="225"/>
        <v/>
      </c>
      <c r="N1119" t="e">
        <f t="shared" si="234"/>
        <v>#N/A</v>
      </c>
      <c r="P1119">
        <f t="shared" si="226"/>
        <v>2</v>
      </c>
      <c r="Q1119" t="str">
        <f t="shared" ca="1" si="227"/>
        <v/>
      </c>
      <c r="R1119" t="str">
        <f t="shared" ca="1" si="228"/>
        <v/>
      </c>
      <c r="T1119">
        <f t="shared" si="229"/>
        <v>0</v>
      </c>
      <c r="V1119">
        <v>2</v>
      </c>
      <c r="W1119" t="str">
        <f t="shared" si="232"/>
        <v/>
      </c>
    </row>
    <row r="1120" spans="1:23" outlineLevel="2" x14ac:dyDescent="0.3">
      <c r="A1120">
        <v>-61.1</v>
      </c>
      <c r="I1120" t="str">
        <f t="shared" si="222"/>
        <v/>
      </c>
      <c r="J1120" t="str">
        <f t="shared" si="223"/>
        <v/>
      </c>
      <c r="K1120" t="e">
        <f t="shared" si="233"/>
        <v>#N/A</v>
      </c>
      <c r="L1120">
        <f t="shared" si="224"/>
        <v>-61.1</v>
      </c>
      <c r="M1120" t="str">
        <f t="shared" si="225"/>
        <v/>
      </c>
      <c r="N1120" t="e">
        <f t="shared" si="234"/>
        <v>#N/A</v>
      </c>
      <c r="P1120">
        <f t="shared" si="226"/>
        <v>2</v>
      </c>
      <c r="Q1120" t="str">
        <f t="shared" ca="1" si="227"/>
        <v/>
      </c>
      <c r="R1120" t="str">
        <f t="shared" ca="1" si="228"/>
        <v/>
      </c>
      <c r="T1120">
        <f t="shared" si="229"/>
        <v>0</v>
      </c>
      <c r="V1120">
        <v>2</v>
      </c>
      <c r="W1120" t="str">
        <f t="shared" si="232"/>
        <v/>
      </c>
    </row>
    <row r="1121" spans="1:23" outlineLevel="2" x14ac:dyDescent="0.3">
      <c r="A1121">
        <v>-40.24</v>
      </c>
      <c r="I1121" t="str">
        <f t="shared" si="222"/>
        <v/>
      </c>
      <c r="J1121" t="str">
        <f>IF(AND(I1122&gt;I1121,I1122&gt;I1124,I1122&gt;$D$5),I1122,"")</f>
        <v/>
      </c>
      <c r="K1121" t="e">
        <f t="shared" si="233"/>
        <v>#N/A</v>
      </c>
      <c r="L1121">
        <f t="shared" si="224"/>
        <v>-40.24</v>
      </c>
      <c r="M1121" t="str">
        <f>IF(AND(L1122&lt;L1121,L1122&lt;L1124,L1122&lt;$G$5),L1122,"")</f>
        <v/>
      </c>
      <c r="N1121" t="e">
        <f t="shared" si="234"/>
        <v>#N/A</v>
      </c>
      <c r="P1121">
        <f t="shared" si="226"/>
        <v>2</v>
      </c>
      <c r="Q1121" t="str">
        <f t="shared" ca="1" si="227"/>
        <v/>
      </c>
      <c r="R1121" t="str">
        <f t="shared" ca="1" si="228"/>
        <v/>
      </c>
      <c r="T1121">
        <f t="shared" si="229"/>
        <v>0</v>
      </c>
      <c r="V1121">
        <v>2</v>
      </c>
      <c r="W1121" t="str">
        <f t="shared" si="232"/>
        <v/>
      </c>
    </row>
    <row r="1122" spans="1:23" outlineLevel="2" x14ac:dyDescent="0.3">
      <c r="A1122">
        <v>-18.23</v>
      </c>
      <c r="I1122" t="str">
        <f t="shared" si="222"/>
        <v/>
      </c>
      <c r="J1122" t="str">
        <f>IF(AND(I1124&gt;I1122,I1124&gt;I1125,I1124&gt;$D$5),I1124,"")</f>
        <v/>
      </c>
      <c r="K1122" t="e">
        <f t="shared" si="233"/>
        <v>#N/A</v>
      </c>
      <c r="L1122">
        <f t="shared" si="224"/>
        <v>-18.23</v>
      </c>
      <c r="M1122" t="str">
        <f>IF(AND(L1124&lt;L1122,L1124&lt;L1125,L1124&lt;$G$5),L1124,"")</f>
        <v/>
      </c>
      <c r="N1122" t="e">
        <f t="shared" si="234"/>
        <v>#N/A</v>
      </c>
      <c r="P1122">
        <f t="shared" si="226"/>
        <v>2</v>
      </c>
      <c r="Q1122">
        <f ca="1">IF(AND(A1124&gt;=0,A1122&lt;0),CELL("ROW",A1124),IF(AND(A1124&lt;0,A1122&gt;=0),CELL("ROW",A1124),""))</f>
        <v>1124</v>
      </c>
      <c r="R1122" t="str">
        <f t="shared" ca="1" si="228"/>
        <v>1124</v>
      </c>
      <c r="T1122">
        <f>S1124-S1122</f>
        <v>0</v>
      </c>
      <c r="V1122">
        <v>2</v>
      </c>
      <c r="W1122" t="str">
        <f t="shared" si="232"/>
        <v/>
      </c>
    </row>
    <row r="1123" spans="1:23" outlineLevel="1" x14ac:dyDescent="0.3">
      <c r="O1123" s="1" t="s">
        <v>27</v>
      </c>
      <c r="P1123">
        <f>SUBTOTAL(3,P1114:P1122)</f>
        <v>9</v>
      </c>
      <c r="V1123">
        <v>9</v>
      </c>
      <c r="W1123">
        <f t="shared" si="232"/>
        <v>9</v>
      </c>
    </row>
    <row r="1124" spans="1:23" outlineLevel="2" x14ac:dyDescent="0.3">
      <c r="A1124">
        <v>14.48</v>
      </c>
      <c r="I1124">
        <f t="shared" si="222"/>
        <v>14.48</v>
      </c>
      <c r="J1124" t="str">
        <f t="shared" si="223"/>
        <v/>
      </c>
      <c r="K1124" t="e">
        <f t="shared" ref="K1124:K1132" si="235">MATCH(J1124,$A$1:$A$10041,0)</f>
        <v>#N/A</v>
      </c>
      <c r="L1124" t="str">
        <f t="shared" si="224"/>
        <v/>
      </c>
      <c r="M1124" t="str">
        <f t="shared" si="225"/>
        <v/>
      </c>
      <c r="N1124" t="e">
        <f t="shared" ref="N1124:N1132" si="236">MATCH(M1124,$A$1:$A$10041,0)</f>
        <v>#N/A</v>
      </c>
      <c r="P1124">
        <f t="shared" si="226"/>
        <v>1</v>
      </c>
      <c r="Q1124" t="str">
        <f t="shared" ca="1" si="227"/>
        <v/>
      </c>
      <c r="R1124" t="str">
        <f t="shared" ca="1" si="228"/>
        <v/>
      </c>
      <c r="T1124">
        <f t="shared" si="229"/>
        <v>0</v>
      </c>
      <c r="V1124">
        <v>1</v>
      </c>
      <c r="W1124" t="str">
        <f t="shared" si="232"/>
        <v/>
      </c>
    </row>
    <row r="1125" spans="1:23" outlineLevel="2" x14ac:dyDescent="0.3">
      <c r="A1125">
        <v>21.62</v>
      </c>
      <c r="I1125">
        <f t="shared" si="222"/>
        <v>21.62</v>
      </c>
      <c r="J1125" t="str">
        <f t="shared" si="223"/>
        <v/>
      </c>
      <c r="K1125" t="e">
        <f t="shared" si="235"/>
        <v>#N/A</v>
      </c>
      <c r="L1125" t="str">
        <f t="shared" si="224"/>
        <v/>
      </c>
      <c r="M1125" t="str">
        <f t="shared" si="225"/>
        <v/>
      </c>
      <c r="N1125" t="e">
        <f t="shared" si="236"/>
        <v>#N/A</v>
      </c>
      <c r="P1125">
        <f t="shared" si="226"/>
        <v>1</v>
      </c>
      <c r="Q1125" t="str">
        <f t="shared" ca="1" si="227"/>
        <v/>
      </c>
      <c r="R1125" t="str">
        <f t="shared" ca="1" si="228"/>
        <v/>
      </c>
      <c r="T1125">
        <f t="shared" si="229"/>
        <v>0</v>
      </c>
      <c r="V1125">
        <v>1</v>
      </c>
      <c r="W1125" t="str">
        <f t="shared" si="232"/>
        <v/>
      </c>
    </row>
    <row r="1126" spans="1:23" outlineLevel="2" x14ac:dyDescent="0.3">
      <c r="A1126">
        <v>28.14</v>
      </c>
      <c r="I1126">
        <f t="shared" si="222"/>
        <v>28.14</v>
      </c>
      <c r="J1126" t="str">
        <f t="shared" si="223"/>
        <v/>
      </c>
      <c r="K1126" t="e">
        <f t="shared" si="235"/>
        <v>#N/A</v>
      </c>
      <c r="L1126" t="str">
        <f t="shared" si="224"/>
        <v/>
      </c>
      <c r="M1126" t="str">
        <f t="shared" si="225"/>
        <v/>
      </c>
      <c r="N1126" t="e">
        <f t="shared" si="236"/>
        <v>#N/A</v>
      </c>
      <c r="P1126">
        <f t="shared" si="226"/>
        <v>1</v>
      </c>
      <c r="Q1126" t="str">
        <f t="shared" ca="1" si="227"/>
        <v/>
      </c>
      <c r="R1126" t="str">
        <f t="shared" ca="1" si="228"/>
        <v/>
      </c>
      <c r="T1126">
        <f t="shared" si="229"/>
        <v>0</v>
      </c>
      <c r="V1126">
        <v>1</v>
      </c>
      <c r="W1126" t="str">
        <f t="shared" si="232"/>
        <v/>
      </c>
    </row>
    <row r="1127" spans="1:23" outlineLevel="2" x14ac:dyDescent="0.3">
      <c r="A1127">
        <v>34.71</v>
      </c>
      <c r="I1127">
        <f t="shared" si="222"/>
        <v>34.71</v>
      </c>
      <c r="J1127" t="str">
        <f t="shared" si="223"/>
        <v/>
      </c>
      <c r="K1127" t="e">
        <f t="shared" si="235"/>
        <v>#N/A</v>
      </c>
      <c r="L1127" t="str">
        <f t="shared" si="224"/>
        <v/>
      </c>
      <c r="M1127" t="str">
        <f t="shared" si="225"/>
        <v/>
      </c>
      <c r="N1127" t="e">
        <f t="shared" si="236"/>
        <v>#N/A</v>
      </c>
      <c r="P1127">
        <f t="shared" si="226"/>
        <v>1</v>
      </c>
      <c r="Q1127" t="str">
        <f t="shared" ca="1" si="227"/>
        <v/>
      </c>
      <c r="R1127" t="str">
        <f t="shared" ca="1" si="228"/>
        <v/>
      </c>
      <c r="T1127">
        <f t="shared" si="229"/>
        <v>0</v>
      </c>
      <c r="V1127">
        <v>1</v>
      </c>
      <c r="W1127" t="str">
        <f t="shared" si="232"/>
        <v/>
      </c>
    </row>
    <row r="1128" spans="1:23" outlineLevel="2" x14ac:dyDescent="0.3">
      <c r="A1128">
        <v>39.03</v>
      </c>
      <c r="I1128">
        <f t="shared" si="222"/>
        <v>39.03</v>
      </c>
      <c r="J1128" t="str">
        <f t="shared" si="223"/>
        <v/>
      </c>
      <c r="K1128" t="e">
        <f t="shared" si="235"/>
        <v>#N/A</v>
      </c>
      <c r="L1128" t="str">
        <f t="shared" si="224"/>
        <v/>
      </c>
      <c r="M1128" t="str">
        <f t="shared" si="225"/>
        <v/>
      </c>
      <c r="N1128" t="e">
        <f t="shared" si="236"/>
        <v>#N/A</v>
      </c>
      <c r="P1128">
        <f t="shared" si="226"/>
        <v>1</v>
      </c>
      <c r="Q1128" t="str">
        <f t="shared" ca="1" si="227"/>
        <v/>
      </c>
      <c r="R1128" t="str">
        <f t="shared" ca="1" si="228"/>
        <v/>
      </c>
      <c r="T1128">
        <f t="shared" si="229"/>
        <v>0</v>
      </c>
      <c r="V1128">
        <v>1</v>
      </c>
      <c r="W1128" t="str">
        <f t="shared" si="232"/>
        <v/>
      </c>
    </row>
    <row r="1129" spans="1:23" outlineLevel="2" x14ac:dyDescent="0.3">
      <c r="A1129">
        <v>39.92</v>
      </c>
      <c r="I1129">
        <f t="shared" ref="I1129:I1177" si="237">IF(A1129&gt;0,A1129,"")</f>
        <v>39.92</v>
      </c>
      <c r="J1129" t="str">
        <f t="shared" ref="J1129:J1175" si="238">IF(AND(I1130&gt;I1129,I1130&gt;I1131,I1130&gt;$D$5),I1130,"")</f>
        <v/>
      </c>
      <c r="K1129" t="e">
        <f t="shared" si="235"/>
        <v>#N/A</v>
      </c>
      <c r="L1129" t="str">
        <f t="shared" ref="L1129:L1177" si="239">IF(A1129&lt;0,A1129,"")</f>
        <v/>
      </c>
      <c r="M1129" t="str">
        <f t="shared" ref="M1129:M1175" si="240">IF(AND(L1130&lt;L1129,L1130&lt;L1131,L1130&lt;$G$5),L1130,"")</f>
        <v/>
      </c>
      <c r="N1129" t="e">
        <f t="shared" si="236"/>
        <v>#N/A</v>
      </c>
      <c r="P1129">
        <f t="shared" ref="P1129:P1177" si="241">IF(A1129&gt;0,1,2)</f>
        <v>1</v>
      </c>
      <c r="Q1129" t="str">
        <f t="shared" ref="Q1129:Q1176" ca="1" si="242">IF(AND(A1130&gt;=0,A1129&lt;0),CELL("ROW",A1130),IF(AND(A1130&lt;0,A1129&gt;=0),CELL("ROW",A1130),""))</f>
        <v/>
      </c>
      <c r="R1129" t="str">
        <f t="shared" ref="R1129:R1177" ca="1" si="243">IF(ISNUMBER(K1129),IF(INT(K1129)=K1129,K1129,""),"")&amp;IF(ISNUMBER(N1129),IF(INT(N1129)=N1129,N1129,""),"")&amp;IF(ISNUMBER(Q1129),IF(INT(Q1129)=Q1129,Q1129,""),"")</f>
        <v/>
      </c>
      <c r="T1129">
        <f t="shared" ref="T1129:T1176" si="244">S1130-S1129</f>
        <v>0</v>
      </c>
      <c r="V1129">
        <v>1</v>
      </c>
      <c r="W1129" t="str">
        <f t="shared" si="232"/>
        <v/>
      </c>
    </row>
    <row r="1130" spans="1:23" outlineLevel="2" x14ac:dyDescent="0.3">
      <c r="A1130">
        <v>37.94</v>
      </c>
      <c r="I1130">
        <f t="shared" si="237"/>
        <v>37.94</v>
      </c>
      <c r="J1130" t="str">
        <f t="shared" si="238"/>
        <v/>
      </c>
      <c r="K1130" t="e">
        <f t="shared" si="235"/>
        <v>#N/A</v>
      </c>
      <c r="L1130" t="str">
        <f t="shared" si="239"/>
        <v/>
      </c>
      <c r="M1130" t="str">
        <f t="shared" si="240"/>
        <v/>
      </c>
      <c r="N1130" t="e">
        <f t="shared" si="236"/>
        <v>#N/A</v>
      </c>
      <c r="P1130">
        <f t="shared" si="241"/>
        <v>1</v>
      </c>
      <c r="Q1130" t="str">
        <f t="shared" ca="1" si="242"/>
        <v/>
      </c>
      <c r="R1130" t="str">
        <f t="shared" ca="1" si="243"/>
        <v/>
      </c>
      <c r="T1130">
        <f t="shared" si="244"/>
        <v>0</v>
      </c>
      <c r="V1130">
        <v>1</v>
      </c>
      <c r="W1130" t="str">
        <f t="shared" si="232"/>
        <v/>
      </c>
    </row>
    <row r="1131" spans="1:23" outlineLevel="2" x14ac:dyDescent="0.3">
      <c r="A1131">
        <v>34.200000000000003</v>
      </c>
      <c r="I1131">
        <f t="shared" si="237"/>
        <v>34.200000000000003</v>
      </c>
      <c r="J1131" t="str">
        <f>IF(AND(I1132&gt;I1131,I1132&gt;I1134,I1132&gt;$D$5),I1132,"")</f>
        <v/>
      </c>
      <c r="K1131" t="e">
        <f t="shared" si="235"/>
        <v>#N/A</v>
      </c>
      <c r="L1131" t="str">
        <f t="shared" si="239"/>
        <v/>
      </c>
      <c r="M1131" t="str">
        <f>IF(AND(L1132&lt;L1131,L1132&lt;L1134,L1132&lt;$G$5),L1132,"")</f>
        <v/>
      </c>
      <c r="N1131" t="e">
        <f t="shared" si="236"/>
        <v>#N/A</v>
      </c>
      <c r="P1131">
        <f t="shared" si="241"/>
        <v>1</v>
      </c>
      <c r="Q1131" t="str">
        <f t="shared" ca="1" si="242"/>
        <v/>
      </c>
      <c r="R1131" t="str">
        <f t="shared" ca="1" si="243"/>
        <v/>
      </c>
      <c r="T1131">
        <f t="shared" si="244"/>
        <v>0</v>
      </c>
      <c r="V1131">
        <v>1</v>
      </c>
      <c r="W1131" t="str">
        <f t="shared" si="232"/>
        <v/>
      </c>
    </row>
    <row r="1132" spans="1:23" outlineLevel="2" x14ac:dyDescent="0.3">
      <c r="A1132">
        <v>30.77</v>
      </c>
      <c r="I1132">
        <f t="shared" si="237"/>
        <v>30.77</v>
      </c>
      <c r="J1132" t="str">
        <f>IF(AND(I1134&gt;I1132,I1134&gt;I1135,I1134&gt;$D$5),I1134,"")</f>
        <v/>
      </c>
      <c r="K1132" t="e">
        <f t="shared" si="235"/>
        <v>#N/A</v>
      </c>
      <c r="L1132" t="str">
        <f t="shared" si="239"/>
        <v/>
      </c>
      <c r="M1132" t="str">
        <f>IF(AND(L1134&lt;L1132,L1134&lt;L1135,L1134&lt;$G$5),L1134,"")</f>
        <v/>
      </c>
      <c r="N1132" t="e">
        <f t="shared" si="236"/>
        <v>#N/A</v>
      </c>
      <c r="P1132">
        <f t="shared" si="241"/>
        <v>1</v>
      </c>
      <c r="Q1132" t="str">
        <f ca="1">IF(AND(A1134&gt;=0,A1132&lt;0),CELL("ROW",A1134),IF(AND(A1134&lt;0,A1132&gt;=0),CELL("ROW",A1134),""))</f>
        <v/>
      </c>
      <c r="R1132" t="str">
        <f t="shared" ca="1" si="243"/>
        <v/>
      </c>
      <c r="T1132">
        <f>S1134-S1132</f>
        <v>0</v>
      </c>
      <c r="V1132">
        <v>1</v>
      </c>
      <c r="W1132" t="str">
        <f t="shared" si="232"/>
        <v/>
      </c>
    </row>
    <row r="1133" spans="1:23" outlineLevel="1" x14ac:dyDescent="0.3">
      <c r="O1133" s="1" t="s">
        <v>26</v>
      </c>
      <c r="P1133">
        <f>SUBTOTAL(3,P1124:P1132)</f>
        <v>9</v>
      </c>
      <c r="V1133">
        <v>9</v>
      </c>
      <c r="W1133">
        <f t="shared" si="232"/>
        <v>9</v>
      </c>
    </row>
    <row r="1134" spans="1:23" outlineLevel="2" x14ac:dyDescent="0.3">
      <c r="I1134" t="str">
        <f t="shared" si="237"/>
        <v/>
      </c>
      <c r="J1134" t="str">
        <f t="shared" si="238"/>
        <v/>
      </c>
      <c r="K1134" t="e">
        <f t="shared" ref="K1134:K1177" si="245">MATCH(J1134,$A$1:$A$10041,0)</f>
        <v>#N/A</v>
      </c>
      <c r="L1134" t="str">
        <f t="shared" si="239"/>
        <v/>
      </c>
      <c r="M1134" t="str">
        <f t="shared" si="240"/>
        <v/>
      </c>
      <c r="N1134" t="e">
        <f t="shared" ref="N1134:N1177" si="246">MATCH(M1134,$A$1:$A$10041,0)</f>
        <v>#N/A</v>
      </c>
      <c r="P1134">
        <f t="shared" si="241"/>
        <v>2</v>
      </c>
      <c r="Q1134" t="str">
        <f t="shared" ca="1" si="242"/>
        <v/>
      </c>
      <c r="R1134" t="str">
        <f t="shared" ca="1" si="243"/>
        <v/>
      </c>
      <c r="T1134">
        <f t="shared" si="244"/>
        <v>0</v>
      </c>
      <c r="V1134">
        <v>2</v>
      </c>
      <c r="W1134" t="str">
        <f t="shared" si="232"/>
        <v/>
      </c>
    </row>
    <row r="1135" spans="1:23" outlineLevel="2" x14ac:dyDescent="0.3">
      <c r="I1135" t="str">
        <f t="shared" si="237"/>
        <v/>
      </c>
      <c r="J1135" t="str">
        <f t="shared" si="238"/>
        <v/>
      </c>
      <c r="K1135" t="e">
        <f t="shared" si="245"/>
        <v>#N/A</v>
      </c>
      <c r="L1135" t="str">
        <f t="shared" si="239"/>
        <v/>
      </c>
      <c r="M1135" t="str">
        <f t="shared" si="240"/>
        <v/>
      </c>
      <c r="N1135" t="e">
        <f t="shared" si="246"/>
        <v>#N/A</v>
      </c>
      <c r="P1135">
        <f t="shared" si="241"/>
        <v>2</v>
      </c>
      <c r="Q1135" t="str">
        <f t="shared" ca="1" si="242"/>
        <v/>
      </c>
      <c r="R1135" t="str">
        <f t="shared" ca="1" si="243"/>
        <v/>
      </c>
      <c r="T1135">
        <f t="shared" si="244"/>
        <v>0</v>
      </c>
      <c r="V1135">
        <v>2</v>
      </c>
      <c r="W1135" t="str">
        <f t="shared" si="232"/>
        <v/>
      </c>
    </row>
    <row r="1136" spans="1:23" outlineLevel="2" x14ac:dyDescent="0.3">
      <c r="I1136" t="str">
        <f t="shared" si="237"/>
        <v/>
      </c>
      <c r="J1136" t="str">
        <f t="shared" si="238"/>
        <v/>
      </c>
      <c r="K1136" t="e">
        <f t="shared" si="245"/>
        <v>#N/A</v>
      </c>
      <c r="L1136" t="str">
        <f t="shared" si="239"/>
        <v/>
      </c>
      <c r="M1136" t="str">
        <f t="shared" si="240"/>
        <v/>
      </c>
      <c r="N1136" t="e">
        <f t="shared" si="246"/>
        <v>#N/A</v>
      </c>
      <c r="P1136">
        <f t="shared" si="241"/>
        <v>2</v>
      </c>
      <c r="Q1136" t="str">
        <f t="shared" ca="1" si="242"/>
        <v/>
      </c>
      <c r="R1136" t="str">
        <f t="shared" ca="1" si="243"/>
        <v/>
      </c>
      <c r="T1136">
        <f t="shared" si="244"/>
        <v>0</v>
      </c>
      <c r="V1136">
        <v>2</v>
      </c>
      <c r="W1136" t="str">
        <f t="shared" si="232"/>
        <v/>
      </c>
    </row>
    <row r="1137" spans="9:23" outlineLevel="2" x14ac:dyDescent="0.3">
      <c r="I1137" t="str">
        <f t="shared" si="237"/>
        <v/>
      </c>
      <c r="J1137" t="str">
        <f t="shared" si="238"/>
        <v/>
      </c>
      <c r="K1137" t="e">
        <f t="shared" si="245"/>
        <v>#N/A</v>
      </c>
      <c r="L1137" t="str">
        <f t="shared" si="239"/>
        <v/>
      </c>
      <c r="M1137" t="str">
        <f t="shared" si="240"/>
        <v/>
      </c>
      <c r="N1137" t="e">
        <f t="shared" si="246"/>
        <v>#N/A</v>
      </c>
      <c r="P1137">
        <f t="shared" si="241"/>
        <v>2</v>
      </c>
      <c r="Q1137" t="str">
        <f t="shared" ca="1" si="242"/>
        <v/>
      </c>
      <c r="R1137" t="str">
        <f t="shared" ca="1" si="243"/>
        <v/>
      </c>
      <c r="T1137">
        <f t="shared" si="244"/>
        <v>0</v>
      </c>
      <c r="V1137">
        <v>2</v>
      </c>
      <c r="W1137" t="str">
        <f t="shared" si="232"/>
        <v/>
      </c>
    </row>
    <row r="1138" spans="9:23" outlineLevel="2" x14ac:dyDescent="0.3">
      <c r="I1138" t="str">
        <f t="shared" si="237"/>
        <v/>
      </c>
      <c r="J1138" t="str">
        <f t="shared" si="238"/>
        <v/>
      </c>
      <c r="K1138" t="e">
        <f t="shared" si="245"/>
        <v>#N/A</v>
      </c>
      <c r="L1138" t="str">
        <f t="shared" si="239"/>
        <v/>
      </c>
      <c r="M1138" t="str">
        <f t="shared" si="240"/>
        <v/>
      </c>
      <c r="N1138" t="e">
        <f t="shared" si="246"/>
        <v>#N/A</v>
      </c>
      <c r="P1138">
        <f t="shared" si="241"/>
        <v>2</v>
      </c>
      <c r="Q1138" t="str">
        <f t="shared" ca="1" si="242"/>
        <v/>
      </c>
      <c r="R1138" t="str">
        <f t="shared" ca="1" si="243"/>
        <v/>
      </c>
      <c r="T1138">
        <f t="shared" si="244"/>
        <v>0</v>
      </c>
      <c r="V1138">
        <v>2</v>
      </c>
      <c r="W1138" t="str">
        <f t="shared" si="232"/>
        <v/>
      </c>
    </row>
    <row r="1139" spans="9:23" outlineLevel="2" x14ac:dyDescent="0.3">
      <c r="I1139" t="str">
        <f t="shared" si="237"/>
        <v/>
      </c>
      <c r="J1139" t="str">
        <f t="shared" si="238"/>
        <v/>
      </c>
      <c r="K1139" t="e">
        <f t="shared" si="245"/>
        <v>#N/A</v>
      </c>
      <c r="L1139" t="str">
        <f t="shared" si="239"/>
        <v/>
      </c>
      <c r="M1139" t="str">
        <f t="shared" si="240"/>
        <v/>
      </c>
      <c r="N1139" t="e">
        <f t="shared" si="246"/>
        <v>#N/A</v>
      </c>
      <c r="P1139">
        <f t="shared" si="241"/>
        <v>2</v>
      </c>
      <c r="Q1139" t="str">
        <f t="shared" ca="1" si="242"/>
        <v/>
      </c>
      <c r="R1139" t="str">
        <f t="shared" ca="1" si="243"/>
        <v/>
      </c>
      <c r="T1139">
        <f t="shared" si="244"/>
        <v>0</v>
      </c>
      <c r="V1139">
        <v>2</v>
      </c>
      <c r="W1139" t="str">
        <f t="shared" si="232"/>
        <v/>
      </c>
    </row>
    <row r="1140" spans="9:23" outlineLevel="2" x14ac:dyDescent="0.3">
      <c r="I1140" t="str">
        <f t="shared" si="237"/>
        <v/>
      </c>
      <c r="J1140" t="str">
        <f t="shared" si="238"/>
        <v/>
      </c>
      <c r="K1140" t="e">
        <f t="shared" si="245"/>
        <v>#N/A</v>
      </c>
      <c r="L1140" t="str">
        <f t="shared" si="239"/>
        <v/>
      </c>
      <c r="M1140" t="str">
        <f t="shared" si="240"/>
        <v/>
      </c>
      <c r="N1140" t="e">
        <f t="shared" si="246"/>
        <v>#N/A</v>
      </c>
      <c r="P1140">
        <f t="shared" si="241"/>
        <v>2</v>
      </c>
      <c r="Q1140" t="str">
        <f t="shared" ca="1" si="242"/>
        <v/>
      </c>
      <c r="R1140" t="str">
        <f t="shared" ca="1" si="243"/>
        <v/>
      </c>
      <c r="T1140">
        <f t="shared" si="244"/>
        <v>0</v>
      </c>
      <c r="V1140">
        <v>2</v>
      </c>
      <c r="W1140" t="str">
        <f t="shared" si="232"/>
        <v/>
      </c>
    </row>
    <row r="1141" spans="9:23" outlineLevel="2" x14ac:dyDescent="0.3">
      <c r="I1141" t="str">
        <f t="shared" si="237"/>
        <v/>
      </c>
      <c r="J1141" t="str">
        <f t="shared" si="238"/>
        <v/>
      </c>
      <c r="K1141" t="e">
        <f t="shared" si="245"/>
        <v>#N/A</v>
      </c>
      <c r="L1141" t="str">
        <f t="shared" si="239"/>
        <v/>
      </c>
      <c r="M1141" t="str">
        <f t="shared" si="240"/>
        <v/>
      </c>
      <c r="N1141" t="e">
        <f t="shared" si="246"/>
        <v>#N/A</v>
      </c>
      <c r="P1141">
        <f t="shared" si="241"/>
        <v>2</v>
      </c>
      <c r="Q1141" t="str">
        <f t="shared" ca="1" si="242"/>
        <v/>
      </c>
      <c r="R1141" t="str">
        <f t="shared" ca="1" si="243"/>
        <v/>
      </c>
      <c r="T1141">
        <f t="shared" si="244"/>
        <v>0</v>
      </c>
      <c r="V1141">
        <v>2</v>
      </c>
      <c r="W1141" t="str">
        <f t="shared" si="232"/>
        <v/>
      </c>
    </row>
    <row r="1142" spans="9:23" outlineLevel="2" x14ac:dyDescent="0.3">
      <c r="I1142" t="str">
        <f t="shared" si="237"/>
        <v/>
      </c>
      <c r="J1142" t="str">
        <f t="shared" si="238"/>
        <v/>
      </c>
      <c r="K1142" t="e">
        <f t="shared" si="245"/>
        <v>#N/A</v>
      </c>
      <c r="L1142" t="str">
        <f t="shared" si="239"/>
        <v/>
      </c>
      <c r="M1142" t="str">
        <f t="shared" si="240"/>
        <v/>
      </c>
      <c r="N1142" t="e">
        <f t="shared" si="246"/>
        <v>#N/A</v>
      </c>
      <c r="P1142">
        <f t="shared" si="241"/>
        <v>2</v>
      </c>
      <c r="Q1142" t="str">
        <f t="shared" ca="1" si="242"/>
        <v/>
      </c>
      <c r="R1142" t="str">
        <f t="shared" ca="1" si="243"/>
        <v/>
      </c>
      <c r="T1142">
        <f t="shared" si="244"/>
        <v>0</v>
      </c>
      <c r="V1142">
        <v>2</v>
      </c>
      <c r="W1142" t="str">
        <f t="shared" si="232"/>
        <v/>
      </c>
    </row>
    <row r="1143" spans="9:23" outlineLevel="2" x14ac:dyDescent="0.3">
      <c r="I1143" t="str">
        <f t="shared" si="237"/>
        <v/>
      </c>
      <c r="J1143" t="str">
        <f t="shared" si="238"/>
        <v/>
      </c>
      <c r="K1143" t="e">
        <f t="shared" si="245"/>
        <v>#N/A</v>
      </c>
      <c r="L1143" t="str">
        <f t="shared" si="239"/>
        <v/>
      </c>
      <c r="M1143" t="str">
        <f t="shared" si="240"/>
        <v/>
      </c>
      <c r="N1143" t="e">
        <f t="shared" si="246"/>
        <v>#N/A</v>
      </c>
      <c r="P1143">
        <f t="shared" si="241"/>
        <v>2</v>
      </c>
      <c r="Q1143" t="str">
        <f t="shared" ca="1" si="242"/>
        <v/>
      </c>
      <c r="R1143" t="str">
        <f t="shared" ca="1" si="243"/>
        <v/>
      </c>
      <c r="T1143">
        <f t="shared" si="244"/>
        <v>0</v>
      </c>
      <c r="V1143">
        <v>2</v>
      </c>
      <c r="W1143" t="str">
        <f t="shared" si="232"/>
        <v/>
      </c>
    </row>
    <row r="1144" spans="9:23" outlineLevel="2" x14ac:dyDescent="0.3">
      <c r="I1144" t="str">
        <f t="shared" si="237"/>
        <v/>
      </c>
      <c r="J1144" t="str">
        <f t="shared" si="238"/>
        <v/>
      </c>
      <c r="K1144" t="e">
        <f t="shared" si="245"/>
        <v>#N/A</v>
      </c>
      <c r="L1144" t="str">
        <f t="shared" si="239"/>
        <v/>
      </c>
      <c r="M1144" t="str">
        <f t="shared" si="240"/>
        <v/>
      </c>
      <c r="N1144" t="e">
        <f t="shared" si="246"/>
        <v>#N/A</v>
      </c>
      <c r="P1144">
        <f t="shared" si="241"/>
        <v>2</v>
      </c>
      <c r="Q1144" t="str">
        <f t="shared" ca="1" si="242"/>
        <v/>
      </c>
      <c r="R1144" t="str">
        <f t="shared" ca="1" si="243"/>
        <v/>
      </c>
      <c r="T1144">
        <f t="shared" si="244"/>
        <v>0</v>
      </c>
      <c r="V1144">
        <v>2</v>
      </c>
      <c r="W1144" t="str">
        <f t="shared" si="232"/>
        <v/>
      </c>
    </row>
    <row r="1145" spans="9:23" outlineLevel="2" x14ac:dyDescent="0.3">
      <c r="I1145" t="str">
        <f t="shared" si="237"/>
        <v/>
      </c>
      <c r="J1145" t="str">
        <f t="shared" si="238"/>
        <v/>
      </c>
      <c r="K1145" t="e">
        <f t="shared" si="245"/>
        <v>#N/A</v>
      </c>
      <c r="L1145" t="str">
        <f t="shared" si="239"/>
        <v/>
      </c>
      <c r="M1145" t="str">
        <f t="shared" si="240"/>
        <v/>
      </c>
      <c r="N1145" t="e">
        <f t="shared" si="246"/>
        <v>#N/A</v>
      </c>
      <c r="P1145">
        <f t="shared" si="241"/>
        <v>2</v>
      </c>
      <c r="Q1145" t="str">
        <f t="shared" ca="1" si="242"/>
        <v/>
      </c>
      <c r="R1145" t="str">
        <f t="shared" ca="1" si="243"/>
        <v/>
      </c>
      <c r="T1145">
        <f t="shared" si="244"/>
        <v>0</v>
      </c>
      <c r="V1145">
        <v>2</v>
      </c>
      <c r="W1145" t="str">
        <f t="shared" si="232"/>
        <v/>
      </c>
    </row>
    <row r="1146" spans="9:23" outlineLevel="2" x14ac:dyDescent="0.3">
      <c r="I1146" t="str">
        <f t="shared" si="237"/>
        <v/>
      </c>
      <c r="J1146" t="str">
        <f t="shared" si="238"/>
        <v/>
      </c>
      <c r="K1146" t="e">
        <f t="shared" si="245"/>
        <v>#N/A</v>
      </c>
      <c r="L1146" t="str">
        <f t="shared" si="239"/>
        <v/>
      </c>
      <c r="M1146" t="str">
        <f t="shared" si="240"/>
        <v/>
      </c>
      <c r="N1146" t="e">
        <f t="shared" si="246"/>
        <v>#N/A</v>
      </c>
      <c r="P1146">
        <f t="shared" si="241"/>
        <v>2</v>
      </c>
      <c r="Q1146" t="str">
        <f t="shared" ca="1" si="242"/>
        <v/>
      </c>
      <c r="R1146" t="str">
        <f t="shared" ca="1" si="243"/>
        <v/>
      </c>
      <c r="T1146">
        <f t="shared" si="244"/>
        <v>0</v>
      </c>
      <c r="V1146">
        <v>2</v>
      </c>
      <c r="W1146" t="str">
        <f t="shared" si="232"/>
        <v/>
      </c>
    </row>
    <row r="1147" spans="9:23" outlineLevel="2" x14ac:dyDescent="0.3">
      <c r="I1147" t="str">
        <f t="shared" si="237"/>
        <v/>
      </c>
      <c r="J1147" t="str">
        <f t="shared" si="238"/>
        <v/>
      </c>
      <c r="K1147" t="e">
        <f t="shared" si="245"/>
        <v>#N/A</v>
      </c>
      <c r="L1147" t="str">
        <f t="shared" si="239"/>
        <v/>
      </c>
      <c r="M1147" t="str">
        <f t="shared" si="240"/>
        <v/>
      </c>
      <c r="N1147" t="e">
        <f t="shared" si="246"/>
        <v>#N/A</v>
      </c>
      <c r="P1147">
        <f t="shared" si="241"/>
        <v>2</v>
      </c>
      <c r="Q1147" t="str">
        <f t="shared" ca="1" si="242"/>
        <v/>
      </c>
      <c r="R1147" t="str">
        <f t="shared" ca="1" si="243"/>
        <v/>
      </c>
      <c r="T1147">
        <f t="shared" si="244"/>
        <v>0</v>
      </c>
      <c r="V1147">
        <v>2</v>
      </c>
      <c r="W1147" t="str">
        <f t="shared" si="232"/>
        <v/>
      </c>
    </row>
    <row r="1148" spans="9:23" outlineLevel="2" x14ac:dyDescent="0.3">
      <c r="I1148" t="str">
        <f t="shared" si="237"/>
        <v/>
      </c>
      <c r="J1148" t="str">
        <f t="shared" si="238"/>
        <v/>
      </c>
      <c r="K1148" t="e">
        <f t="shared" si="245"/>
        <v>#N/A</v>
      </c>
      <c r="L1148" t="str">
        <f t="shared" si="239"/>
        <v/>
      </c>
      <c r="M1148" t="str">
        <f t="shared" si="240"/>
        <v/>
      </c>
      <c r="N1148" t="e">
        <f t="shared" si="246"/>
        <v>#N/A</v>
      </c>
      <c r="P1148">
        <f t="shared" si="241"/>
        <v>2</v>
      </c>
      <c r="Q1148" t="str">
        <f t="shared" ca="1" si="242"/>
        <v/>
      </c>
      <c r="R1148" t="str">
        <f t="shared" ca="1" si="243"/>
        <v/>
      </c>
      <c r="T1148">
        <f t="shared" si="244"/>
        <v>0</v>
      </c>
      <c r="V1148">
        <v>2</v>
      </c>
      <c r="W1148" t="str">
        <f t="shared" si="232"/>
        <v/>
      </c>
    </row>
    <row r="1149" spans="9:23" outlineLevel="2" x14ac:dyDescent="0.3">
      <c r="I1149" t="str">
        <f t="shared" si="237"/>
        <v/>
      </c>
      <c r="J1149" t="str">
        <f t="shared" si="238"/>
        <v/>
      </c>
      <c r="K1149" t="e">
        <f t="shared" si="245"/>
        <v>#N/A</v>
      </c>
      <c r="L1149" t="str">
        <f t="shared" si="239"/>
        <v/>
      </c>
      <c r="M1149" t="str">
        <f t="shared" si="240"/>
        <v/>
      </c>
      <c r="N1149" t="e">
        <f t="shared" si="246"/>
        <v>#N/A</v>
      </c>
      <c r="P1149">
        <f t="shared" si="241"/>
        <v>2</v>
      </c>
      <c r="Q1149" t="str">
        <f t="shared" ca="1" si="242"/>
        <v/>
      </c>
      <c r="R1149" t="str">
        <f t="shared" ca="1" si="243"/>
        <v/>
      </c>
      <c r="T1149">
        <f t="shared" si="244"/>
        <v>0</v>
      </c>
      <c r="V1149">
        <v>2</v>
      </c>
      <c r="W1149" t="str">
        <f t="shared" si="232"/>
        <v/>
      </c>
    </row>
    <row r="1150" spans="9:23" outlineLevel="2" x14ac:dyDescent="0.3">
      <c r="I1150" t="str">
        <f t="shared" si="237"/>
        <v/>
      </c>
      <c r="J1150" t="str">
        <f t="shared" si="238"/>
        <v/>
      </c>
      <c r="K1150" t="e">
        <f t="shared" si="245"/>
        <v>#N/A</v>
      </c>
      <c r="L1150" t="str">
        <f t="shared" si="239"/>
        <v/>
      </c>
      <c r="M1150" t="str">
        <f t="shared" si="240"/>
        <v/>
      </c>
      <c r="N1150" t="e">
        <f t="shared" si="246"/>
        <v>#N/A</v>
      </c>
      <c r="P1150">
        <f t="shared" si="241"/>
        <v>2</v>
      </c>
      <c r="Q1150" t="str">
        <f t="shared" ca="1" si="242"/>
        <v/>
      </c>
      <c r="R1150" t="str">
        <f t="shared" ca="1" si="243"/>
        <v/>
      </c>
      <c r="T1150">
        <f t="shared" si="244"/>
        <v>0</v>
      </c>
      <c r="V1150">
        <v>2</v>
      </c>
      <c r="W1150" t="str">
        <f t="shared" si="232"/>
        <v/>
      </c>
    </row>
    <row r="1151" spans="9:23" outlineLevel="2" x14ac:dyDescent="0.3">
      <c r="I1151" t="str">
        <f t="shared" si="237"/>
        <v/>
      </c>
      <c r="J1151" t="str">
        <f t="shared" si="238"/>
        <v/>
      </c>
      <c r="K1151" t="e">
        <f t="shared" si="245"/>
        <v>#N/A</v>
      </c>
      <c r="L1151" t="str">
        <f t="shared" si="239"/>
        <v/>
      </c>
      <c r="M1151" t="str">
        <f t="shared" si="240"/>
        <v/>
      </c>
      <c r="N1151" t="e">
        <f t="shared" si="246"/>
        <v>#N/A</v>
      </c>
      <c r="P1151">
        <f t="shared" si="241"/>
        <v>2</v>
      </c>
      <c r="Q1151" t="str">
        <f t="shared" ca="1" si="242"/>
        <v/>
      </c>
      <c r="R1151" t="str">
        <f t="shared" ca="1" si="243"/>
        <v/>
      </c>
      <c r="T1151">
        <f t="shared" si="244"/>
        <v>0</v>
      </c>
      <c r="V1151">
        <v>2</v>
      </c>
      <c r="W1151" t="str">
        <f t="shared" si="232"/>
        <v/>
      </c>
    </row>
    <row r="1152" spans="9:23" outlineLevel="2" x14ac:dyDescent="0.3">
      <c r="I1152" t="str">
        <f t="shared" si="237"/>
        <v/>
      </c>
      <c r="J1152" t="str">
        <f t="shared" si="238"/>
        <v/>
      </c>
      <c r="K1152" t="e">
        <f t="shared" si="245"/>
        <v>#N/A</v>
      </c>
      <c r="L1152" t="str">
        <f t="shared" si="239"/>
        <v/>
      </c>
      <c r="M1152" t="str">
        <f t="shared" si="240"/>
        <v/>
      </c>
      <c r="N1152" t="e">
        <f t="shared" si="246"/>
        <v>#N/A</v>
      </c>
      <c r="P1152">
        <f t="shared" si="241"/>
        <v>2</v>
      </c>
      <c r="Q1152" t="str">
        <f t="shared" ca="1" si="242"/>
        <v/>
      </c>
      <c r="R1152" t="str">
        <f t="shared" ca="1" si="243"/>
        <v/>
      </c>
      <c r="T1152">
        <f t="shared" si="244"/>
        <v>0</v>
      </c>
      <c r="V1152">
        <v>2</v>
      </c>
      <c r="W1152" t="str">
        <f t="shared" si="232"/>
        <v/>
      </c>
    </row>
    <row r="1153" spans="9:23" outlineLevel="2" x14ac:dyDescent="0.3">
      <c r="I1153" t="str">
        <f t="shared" si="237"/>
        <v/>
      </c>
      <c r="J1153" t="str">
        <f t="shared" si="238"/>
        <v/>
      </c>
      <c r="K1153" t="e">
        <f t="shared" si="245"/>
        <v>#N/A</v>
      </c>
      <c r="L1153" t="str">
        <f t="shared" si="239"/>
        <v/>
      </c>
      <c r="M1153" t="str">
        <f t="shared" si="240"/>
        <v/>
      </c>
      <c r="N1153" t="e">
        <f t="shared" si="246"/>
        <v>#N/A</v>
      </c>
      <c r="P1153">
        <f t="shared" si="241"/>
        <v>2</v>
      </c>
      <c r="Q1153" t="str">
        <f t="shared" ca="1" si="242"/>
        <v/>
      </c>
      <c r="R1153" t="str">
        <f t="shared" ca="1" si="243"/>
        <v/>
      </c>
      <c r="T1153">
        <f t="shared" si="244"/>
        <v>0</v>
      </c>
      <c r="V1153">
        <v>2</v>
      </c>
      <c r="W1153" t="str">
        <f t="shared" si="232"/>
        <v/>
      </c>
    </row>
    <row r="1154" spans="9:23" outlineLevel="2" x14ac:dyDescent="0.3">
      <c r="I1154" t="str">
        <f t="shared" si="237"/>
        <v/>
      </c>
      <c r="J1154" t="str">
        <f t="shared" si="238"/>
        <v/>
      </c>
      <c r="K1154" t="e">
        <f t="shared" si="245"/>
        <v>#N/A</v>
      </c>
      <c r="L1154" t="str">
        <f t="shared" si="239"/>
        <v/>
      </c>
      <c r="M1154" t="str">
        <f t="shared" si="240"/>
        <v/>
      </c>
      <c r="N1154" t="e">
        <f t="shared" si="246"/>
        <v>#N/A</v>
      </c>
      <c r="P1154">
        <f t="shared" si="241"/>
        <v>2</v>
      </c>
      <c r="Q1154" t="str">
        <f t="shared" ca="1" si="242"/>
        <v/>
      </c>
      <c r="R1154" t="str">
        <f t="shared" ca="1" si="243"/>
        <v/>
      </c>
      <c r="T1154">
        <f t="shared" si="244"/>
        <v>0</v>
      </c>
      <c r="V1154">
        <v>2</v>
      </c>
      <c r="W1154" t="str">
        <f t="shared" si="232"/>
        <v/>
      </c>
    </row>
    <row r="1155" spans="9:23" outlineLevel="2" x14ac:dyDescent="0.3">
      <c r="I1155" t="str">
        <f t="shared" si="237"/>
        <v/>
      </c>
      <c r="J1155" t="str">
        <f t="shared" si="238"/>
        <v/>
      </c>
      <c r="K1155" t="e">
        <f t="shared" si="245"/>
        <v>#N/A</v>
      </c>
      <c r="L1155" t="str">
        <f t="shared" si="239"/>
        <v/>
      </c>
      <c r="M1155" t="str">
        <f t="shared" si="240"/>
        <v/>
      </c>
      <c r="N1155" t="e">
        <f t="shared" si="246"/>
        <v>#N/A</v>
      </c>
      <c r="P1155">
        <f t="shared" si="241"/>
        <v>2</v>
      </c>
      <c r="Q1155" t="str">
        <f t="shared" ca="1" si="242"/>
        <v/>
      </c>
      <c r="R1155" t="str">
        <f t="shared" ca="1" si="243"/>
        <v/>
      </c>
      <c r="T1155">
        <f t="shared" si="244"/>
        <v>0</v>
      </c>
      <c r="V1155">
        <v>2</v>
      </c>
      <c r="W1155" t="str">
        <f t="shared" ref="W1155:W1178" si="247">IF(AND(V1155&gt;2,V1155&lt;20),V1155,"")</f>
        <v/>
      </c>
    </row>
    <row r="1156" spans="9:23" outlineLevel="2" x14ac:dyDescent="0.3">
      <c r="I1156" t="str">
        <f t="shared" si="237"/>
        <v/>
      </c>
      <c r="J1156" t="str">
        <f t="shared" si="238"/>
        <v/>
      </c>
      <c r="K1156" t="e">
        <f t="shared" si="245"/>
        <v>#N/A</v>
      </c>
      <c r="L1156" t="str">
        <f t="shared" si="239"/>
        <v/>
      </c>
      <c r="M1156" t="str">
        <f t="shared" si="240"/>
        <v/>
      </c>
      <c r="N1156" t="e">
        <f t="shared" si="246"/>
        <v>#N/A</v>
      </c>
      <c r="P1156">
        <f t="shared" si="241"/>
        <v>2</v>
      </c>
      <c r="Q1156" t="str">
        <f t="shared" ca="1" si="242"/>
        <v/>
      </c>
      <c r="R1156" t="str">
        <f t="shared" ca="1" si="243"/>
        <v/>
      </c>
      <c r="T1156">
        <f t="shared" si="244"/>
        <v>0</v>
      </c>
      <c r="V1156">
        <v>2</v>
      </c>
      <c r="W1156" t="str">
        <f t="shared" si="247"/>
        <v/>
      </c>
    </row>
    <row r="1157" spans="9:23" outlineLevel="2" x14ac:dyDescent="0.3">
      <c r="I1157" t="str">
        <f t="shared" si="237"/>
        <v/>
      </c>
      <c r="J1157" t="str">
        <f t="shared" si="238"/>
        <v/>
      </c>
      <c r="K1157" t="e">
        <f t="shared" si="245"/>
        <v>#N/A</v>
      </c>
      <c r="L1157" t="str">
        <f t="shared" si="239"/>
        <v/>
      </c>
      <c r="M1157" t="str">
        <f t="shared" si="240"/>
        <v/>
      </c>
      <c r="N1157" t="e">
        <f t="shared" si="246"/>
        <v>#N/A</v>
      </c>
      <c r="P1157">
        <f t="shared" si="241"/>
        <v>2</v>
      </c>
      <c r="Q1157" t="str">
        <f t="shared" ca="1" si="242"/>
        <v/>
      </c>
      <c r="R1157" t="str">
        <f t="shared" ca="1" si="243"/>
        <v/>
      </c>
      <c r="T1157">
        <f t="shared" si="244"/>
        <v>0</v>
      </c>
      <c r="V1157">
        <v>2</v>
      </c>
      <c r="W1157" t="str">
        <f t="shared" si="247"/>
        <v/>
      </c>
    </row>
    <row r="1158" spans="9:23" outlineLevel="2" x14ac:dyDescent="0.3">
      <c r="I1158" t="str">
        <f t="shared" si="237"/>
        <v/>
      </c>
      <c r="J1158" t="str">
        <f t="shared" si="238"/>
        <v/>
      </c>
      <c r="K1158" t="e">
        <f t="shared" si="245"/>
        <v>#N/A</v>
      </c>
      <c r="L1158" t="str">
        <f t="shared" si="239"/>
        <v/>
      </c>
      <c r="M1158" t="str">
        <f t="shared" si="240"/>
        <v/>
      </c>
      <c r="N1158" t="e">
        <f t="shared" si="246"/>
        <v>#N/A</v>
      </c>
      <c r="P1158">
        <f t="shared" si="241"/>
        <v>2</v>
      </c>
      <c r="Q1158" t="str">
        <f t="shared" ca="1" si="242"/>
        <v/>
      </c>
      <c r="R1158" t="str">
        <f t="shared" ca="1" si="243"/>
        <v/>
      </c>
      <c r="T1158">
        <f t="shared" si="244"/>
        <v>0</v>
      </c>
      <c r="V1158">
        <v>2</v>
      </c>
      <c r="W1158" t="str">
        <f t="shared" si="247"/>
        <v/>
      </c>
    </row>
    <row r="1159" spans="9:23" outlineLevel="2" x14ac:dyDescent="0.3">
      <c r="I1159" t="str">
        <f t="shared" si="237"/>
        <v/>
      </c>
      <c r="J1159" t="str">
        <f t="shared" si="238"/>
        <v/>
      </c>
      <c r="K1159" t="e">
        <f t="shared" si="245"/>
        <v>#N/A</v>
      </c>
      <c r="L1159" t="str">
        <f t="shared" si="239"/>
        <v/>
      </c>
      <c r="M1159" t="str">
        <f t="shared" si="240"/>
        <v/>
      </c>
      <c r="N1159" t="e">
        <f t="shared" si="246"/>
        <v>#N/A</v>
      </c>
      <c r="P1159">
        <f t="shared" si="241"/>
        <v>2</v>
      </c>
      <c r="Q1159" t="str">
        <f t="shared" ca="1" si="242"/>
        <v/>
      </c>
      <c r="R1159" t="str">
        <f t="shared" ca="1" si="243"/>
        <v/>
      </c>
      <c r="T1159">
        <f t="shared" si="244"/>
        <v>0</v>
      </c>
      <c r="V1159">
        <v>2</v>
      </c>
      <c r="W1159" t="str">
        <f t="shared" si="247"/>
        <v/>
      </c>
    </row>
    <row r="1160" spans="9:23" outlineLevel="2" x14ac:dyDescent="0.3">
      <c r="I1160" t="str">
        <f t="shared" si="237"/>
        <v/>
      </c>
      <c r="J1160" t="str">
        <f t="shared" si="238"/>
        <v/>
      </c>
      <c r="K1160" t="e">
        <f t="shared" si="245"/>
        <v>#N/A</v>
      </c>
      <c r="L1160" t="str">
        <f t="shared" si="239"/>
        <v/>
      </c>
      <c r="M1160" t="str">
        <f t="shared" si="240"/>
        <v/>
      </c>
      <c r="N1160" t="e">
        <f t="shared" si="246"/>
        <v>#N/A</v>
      </c>
      <c r="P1160">
        <f t="shared" si="241"/>
        <v>2</v>
      </c>
      <c r="Q1160" t="str">
        <f t="shared" ca="1" si="242"/>
        <v/>
      </c>
      <c r="R1160" t="str">
        <f t="shared" ca="1" si="243"/>
        <v/>
      </c>
      <c r="T1160">
        <f t="shared" si="244"/>
        <v>0</v>
      </c>
      <c r="V1160">
        <v>2</v>
      </c>
      <c r="W1160" t="str">
        <f t="shared" si="247"/>
        <v/>
      </c>
    </row>
    <row r="1161" spans="9:23" outlineLevel="2" x14ac:dyDescent="0.3">
      <c r="I1161" t="str">
        <f t="shared" si="237"/>
        <v/>
      </c>
      <c r="J1161" t="str">
        <f t="shared" si="238"/>
        <v/>
      </c>
      <c r="K1161" t="e">
        <f t="shared" si="245"/>
        <v>#N/A</v>
      </c>
      <c r="L1161" t="str">
        <f t="shared" si="239"/>
        <v/>
      </c>
      <c r="M1161" t="str">
        <f t="shared" si="240"/>
        <v/>
      </c>
      <c r="N1161" t="e">
        <f t="shared" si="246"/>
        <v>#N/A</v>
      </c>
      <c r="P1161">
        <f t="shared" si="241"/>
        <v>2</v>
      </c>
      <c r="Q1161" t="str">
        <f t="shared" ca="1" si="242"/>
        <v/>
      </c>
      <c r="R1161" t="str">
        <f t="shared" ca="1" si="243"/>
        <v/>
      </c>
      <c r="T1161">
        <f t="shared" si="244"/>
        <v>0</v>
      </c>
      <c r="V1161">
        <v>2</v>
      </c>
      <c r="W1161" t="str">
        <f t="shared" si="247"/>
        <v/>
      </c>
    </row>
    <row r="1162" spans="9:23" outlineLevel="2" x14ac:dyDescent="0.3">
      <c r="I1162" t="str">
        <f t="shared" si="237"/>
        <v/>
      </c>
      <c r="J1162" t="str">
        <f t="shared" si="238"/>
        <v/>
      </c>
      <c r="K1162" t="e">
        <f t="shared" si="245"/>
        <v>#N/A</v>
      </c>
      <c r="L1162" t="str">
        <f t="shared" si="239"/>
        <v/>
      </c>
      <c r="M1162" t="str">
        <f t="shared" si="240"/>
        <v/>
      </c>
      <c r="N1162" t="e">
        <f t="shared" si="246"/>
        <v>#N/A</v>
      </c>
      <c r="P1162">
        <f t="shared" si="241"/>
        <v>2</v>
      </c>
      <c r="Q1162" t="str">
        <f t="shared" ca="1" si="242"/>
        <v/>
      </c>
      <c r="R1162" t="str">
        <f t="shared" ca="1" si="243"/>
        <v/>
      </c>
      <c r="T1162">
        <f t="shared" si="244"/>
        <v>0</v>
      </c>
      <c r="V1162">
        <v>2</v>
      </c>
      <c r="W1162" t="str">
        <f t="shared" si="247"/>
        <v/>
      </c>
    </row>
    <row r="1163" spans="9:23" outlineLevel="2" x14ac:dyDescent="0.3">
      <c r="I1163" t="str">
        <f t="shared" si="237"/>
        <v/>
      </c>
      <c r="J1163" t="str">
        <f t="shared" si="238"/>
        <v/>
      </c>
      <c r="K1163" t="e">
        <f t="shared" si="245"/>
        <v>#N/A</v>
      </c>
      <c r="L1163" t="str">
        <f t="shared" si="239"/>
        <v/>
      </c>
      <c r="M1163" t="str">
        <f t="shared" si="240"/>
        <v/>
      </c>
      <c r="N1163" t="e">
        <f t="shared" si="246"/>
        <v>#N/A</v>
      </c>
      <c r="P1163">
        <f t="shared" si="241"/>
        <v>2</v>
      </c>
      <c r="Q1163" t="str">
        <f t="shared" ca="1" si="242"/>
        <v/>
      </c>
      <c r="R1163" t="str">
        <f t="shared" ca="1" si="243"/>
        <v/>
      </c>
      <c r="T1163">
        <f t="shared" si="244"/>
        <v>0</v>
      </c>
      <c r="V1163">
        <v>2</v>
      </c>
      <c r="W1163" t="str">
        <f t="shared" si="247"/>
        <v/>
      </c>
    </row>
    <row r="1164" spans="9:23" outlineLevel="2" x14ac:dyDescent="0.3">
      <c r="I1164" t="str">
        <f t="shared" si="237"/>
        <v/>
      </c>
      <c r="J1164" t="str">
        <f t="shared" si="238"/>
        <v/>
      </c>
      <c r="K1164" t="e">
        <f t="shared" si="245"/>
        <v>#N/A</v>
      </c>
      <c r="L1164" t="str">
        <f t="shared" si="239"/>
        <v/>
      </c>
      <c r="M1164" t="str">
        <f t="shared" si="240"/>
        <v/>
      </c>
      <c r="N1164" t="e">
        <f t="shared" si="246"/>
        <v>#N/A</v>
      </c>
      <c r="P1164">
        <f t="shared" si="241"/>
        <v>2</v>
      </c>
      <c r="Q1164" t="str">
        <f t="shared" ca="1" si="242"/>
        <v/>
      </c>
      <c r="R1164" t="str">
        <f t="shared" ca="1" si="243"/>
        <v/>
      </c>
      <c r="T1164">
        <f t="shared" si="244"/>
        <v>0</v>
      </c>
      <c r="V1164">
        <v>2</v>
      </c>
      <c r="W1164" t="str">
        <f t="shared" si="247"/>
        <v/>
      </c>
    </row>
    <row r="1165" spans="9:23" outlineLevel="2" x14ac:dyDescent="0.3">
      <c r="I1165" t="str">
        <f t="shared" si="237"/>
        <v/>
      </c>
      <c r="J1165" t="str">
        <f t="shared" si="238"/>
        <v/>
      </c>
      <c r="K1165" t="e">
        <f t="shared" si="245"/>
        <v>#N/A</v>
      </c>
      <c r="L1165" t="str">
        <f t="shared" si="239"/>
        <v/>
      </c>
      <c r="M1165" t="str">
        <f t="shared" si="240"/>
        <v/>
      </c>
      <c r="N1165" t="e">
        <f t="shared" si="246"/>
        <v>#N/A</v>
      </c>
      <c r="P1165">
        <f t="shared" si="241"/>
        <v>2</v>
      </c>
      <c r="Q1165" t="str">
        <f t="shared" ca="1" si="242"/>
        <v/>
      </c>
      <c r="R1165" t="str">
        <f t="shared" ca="1" si="243"/>
        <v/>
      </c>
      <c r="T1165">
        <f t="shared" si="244"/>
        <v>0</v>
      </c>
      <c r="V1165">
        <v>2</v>
      </c>
      <c r="W1165" t="str">
        <f t="shared" si="247"/>
        <v/>
      </c>
    </row>
    <row r="1166" spans="9:23" outlineLevel="2" x14ac:dyDescent="0.3">
      <c r="I1166" t="str">
        <f t="shared" si="237"/>
        <v/>
      </c>
      <c r="J1166" t="str">
        <f t="shared" si="238"/>
        <v/>
      </c>
      <c r="K1166" t="e">
        <f t="shared" si="245"/>
        <v>#N/A</v>
      </c>
      <c r="L1166" t="str">
        <f t="shared" si="239"/>
        <v/>
      </c>
      <c r="M1166" t="str">
        <f t="shared" si="240"/>
        <v/>
      </c>
      <c r="N1166" t="e">
        <f t="shared" si="246"/>
        <v>#N/A</v>
      </c>
      <c r="P1166">
        <f t="shared" si="241"/>
        <v>2</v>
      </c>
      <c r="Q1166" t="str">
        <f t="shared" ca="1" si="242"/>
        <v/>
      </c>
      <c r="R1166" t="str">
        <f t="shared" ca="1" si="243"/>
        <v/>
      </c>
      <c r="T1166">
        <f t="shared" si="244"/>
        <v>0</v>
      </c>
      <c r="V1166">
        <v>2</v>
      </c>
      <c r="W1166" t="str">
        <f t="shared" si="247"/>
        <v/>
      </c>
    </row>
    <row r="1167" spans="9:23" outlineLevel="2" x14ac:dyDescent="0.3">
      <c r="I1167" t="str">
        <f t="shared" si="237"/>
        <v/>
      </c>
      <c r="J1167" t="str">
        <f t="shared" si="238"/>
        <v/>
      </c>
      <c r="K1167" t="e">
        <f t="shared" si="245"/>
        <v>#N/A</v>
      </c>
      <c r="L1167" t="str">
        <f t="shared" si="239"/>
        <v/>
      </c>
      <c r="M1167" t="str">
        <f t="shared" si="240"/>
        <v/>
      </c>
      <c r="N1167" t="e">
        <f t="shared" si="246"/>
        <v>#N/A</v>
      </c>
      <c r="P1167">
        <f t="shared" si="241"/>
        <v>2</v>
      </c>
      <c r="Q1167" t="str">
        <f t="shared" ca="1" si="242"/>
        <v/>
      </c>
      <c r="R1167" t="str">
        <f t="shared" ca="1" si="243"/>
        <v/>
      </c>
      <c r="T1167">
        <f t="shared" si="244"/>
        <v>0</v>
      </c>
      <c r="V1167">
        <v>2</v>
      </c>
      <c r="W1167" t="str">
        <f t="shared" si="247"/>
        <v/>
      </c>
    </row>
    <row r="1168" spans="9:23" outlineLevel="2" x14ac:dyDescent="0.3">
      <c r="I1168" t="str">
        <f t="shared" si="237"/>
        <v/>
      </c>
      <c r="J1168" t="str">
        <f t="shared" si="238"/>
        <v/>
      </c>
      <c r="K1168" t="e">
        <f t="shared" si="245"/>
        <v>#N/A</v>
      </c>
      <c r="L1168" t="str">
        <f t="shared" si="239"/>
        <v/>
      </c>
      <c r="M1168" t="str">
        <f t="shared" si="240"/>
        <v/>
      </c>
      <c r="N1168" t="e">
        <f t="shared" si="246"/>
        <v>#N/A</v>
      </c>
      <c r="P1168">
        <f t="shared" si="241"/>
        <v>2</v>
      </c>
      <c r="Q1168" t="str">
        <f t="shared" ca="1" si="242"/>
        <v/>
      </c>
      <c r="R1168" t="str">
        <f t="shared" ca="1" si="243"/>
        <v/>
      </c>
      <c r="T1168">
        <f t="shared" si="244"/>
        <v>0</v>
      </c>
      <c r="V1168">
        <v>2</v>
      </c>
      <c r="W1168" t="str">
        <f t="shared" si="247"/>
        <v/>
      </c>
    </row>
    <row r="1169" spans="9:23" outlineLevel="2" x14ac:dyDescent="0.3">
      <c r="I1169" t="str">
        <f t="shared" si="237"/>
        <v/>
      </c>
      <c r="J1169" t="str">
        <f t="shared" si="238"/>
        <v/>
      </c>
      <c r="K1169" t="e">
        <f t="shared" si="245"/>
        <v>#N/A</v>
      </c>
      <c r="L1169" t="str">
        <f t="shared" si="239"/>
        <v/>
      </c>
      <c r="M1169" t="str">
        <f t="shared" si="240"/>
        <v/>
      </c>
      <c r="N1169" t="e">
        <f t="shared" si="246"/>
        <v>#N/A</v>
      </c>
      <c r="P1169">
        <f t="shared" si="241"/>
        <v>2</v>
      </c>
      <c r="Q1169" t="str">
        <f t="shared" ca="1" si="242"/>
        <v/>
      </c>
      <c r="R1169" t="str">
        <f t="shared" ca="1" si="243"/>
        <v/>
      </c>
      <c r="T1169">
        <f t="shared" si="244"/>
        <v>0</v>
      </c>
      <c r="V1169">
        <v>2</v>
      </c>
      <c r="W1169" t="str">
        <f t="shared" si="247"/>
        <v/>
      </c>
    </row>
    <row r="1170" spans="9:23" outlineLevel="2" x14ac:dyDescent="0.3">
      <c r="I1170" t="str">
        <f t="shared" si="237"/>
        <v/>
      </c>
      <c r="J1170" t="str">
        <f t="shared" si="238"/>
        <v/>
      </c>
      <c r="K1170" t="e">
        <f t="shared" si="245"/>
        <v>#N/A</v>
      </c>
      <c r="L1170" t="str">
        <f t="shared" si="239"/>
        <v/>
      </c>
      <c r="M1170" t="str">
        <f t="shared" si="240"/>
        <v/>
      </c>
      <c r="N1170" t="e">
        <f t="shared" si="246"/>
        <v>#N/A</v>
      </c>
      <c r="P1170">
        <f t="shared" si="241"/>
        <v>2</v>
      </c>
      <c r="Q1170" t="str">
        <f t="shared" ca="1" si="242"/>
        <v/>
      </c>
      <c r="R1170" t="str">
        <f t="shared" ca="1" si="243"/>
        <v/>
      </c>
      <c r="T1170">
        <f t="shared" si="244"/>
        <v>0</v>
      </c>
      <c r="V1170">
        <v>2</v>
      </c>
      <c r="W1170" t="str">
        <f t="shared" si="247"/>
        <v/>
      </c>
    </row>
    <row r="1171" spans="9:23" outlineLevel="2" x14ac:dyDescent="0.3">
      <c r="I1171" t="str">
        <f t="shared" si="237"/>
        <v/>
      </c>
      <c r="J1171" t="str">
        <f t="shared" si="238"/>
        <v/>
      </c>
      <c r="K1171" t="e">
        <f t="shared" si="245"/>
        <v>#N/A</v>
      </c>
      <c r="L1171" t="str">
        <f t="shared" si="239"/>
        <v/>
      </c>
      <c r="M1171" t="str">
        <f t="shared" si="240"/>
        <v/>
      </c>
      <c r="N1171" t="e">
        <f t="shared" si="246"/>
        <v>#N/A</v>
      </c>
      <c r="P1171">
        <f t="shared" si="241"/>
        <v>2</v>
      </c>
      <c r="Q1171" t="str">
        <f t="shared" ca="1" si="242"/>
        <v/>
      </c>
      <c r="R1171" t="str">
        <f t="shared" ca="1" si="243"/>
        <v/>
      </c>
      <c r="T1171">
        <f t="shared" si="244"/>
        <v>0</v>
      </c>
      <c r="V1171">
        <v>2</v>
      </c>
      <c r="W1171" t="str">
        <f t="shared" si="247"/>
        <v/>
      </c>
    </row>
    <row r="1172" spans="9:23" outlineLevel="2" x14ac:dyDescent="0.3">
      <c r="I1172" t="str">
        <f t="shared" si="237"/>
        <v/>
      </c>
      <c r="J1172" t="str">
        <f t="shared" si="238"/>
        <v/>
      </c>
      <c r="K1172" t="e">
        <f t="shared" si="245"/>
        <v>#N/A</v>
      </c>
      <c r="L1172" t="str">
        <f t="shared" si="239"/>
        <v/>
      </c>
      <c r="M1172" t="str">
        <f t="shared" si="240"/>
        <v/>
      </c>
      <c r="N1172" t="e">
        <f t="shared" si="246"/>
        <v>#N/A</v>
      </c>
      <c r="P1172">
        <f t="shared" si="241"/>
        <v>2</v>
      </c>
      <c r="Q1172" t="str">
        <f t="shared" ca="1" si="242"/>
        <v/>
      </c>
      <c r="R1172" t="str">
        <f t="shared" ca="1" si="243"/>
        <v/>
      </c>
      <c r="T1172">
        <f t="shared" si="244"/>
        <v>0</v>
      </c>
      <c r="V1172">
        <v>2</v>
      </c>
      <c r="W1172" t="str">
        <f t="shared" si="247"/>
        <v/>
      </c>
    </row>
    <row r="1173" spans="9:23" outlineLevel="2" x14ac:dyDescent="0.3">
      <c r="I1173" t="str">
        <f t="shared" si="237"/>
        <v/>
      </c>
      <c r="J1173" t="str">
        <f t="shared" si="238"/>
        <v/>
      </c>
      <c r="K1173" t="e">
        <f t="shared" si="245"/>
        <v>#N/A</v>
      </c>
      <c r="L1173" t="str">
        <f t="shared" si="239"/>
        <v/>
      </c>
      <c r="M1173" t="str">
        <f t="shared" si="240"/>
        <v/>
      </c>
      <c r="N1173" t="e">
        <f t="shared" si="246"/>
        <v>#N/A</v>
      </c>
      <c r="P1173">
        <f t="shared" si="241"/>
        <v>2</v>
      </c>
      <c r="Q1173" t="str">
        <f t="shared" ca="1" si="242"/>
        <v/>
      </c>
      <c r="R1173" t="str">
        <f t="shared" ca="1" si="243"/>
        <v/>
      </c>
      <c r="T1173">
        <f t="shared" si="244"/>
        <v>0</v>
      </c>
      <c r="V1173">
        <v>2</v>
      </c>
      <c r="W1173" t="str">
        <f t="shared" si="247"/>
        <v/>
      </c>
    </row>
    <row r="1174" spans="9:23" outlineLevel="2" x14ac:dyDescent="0.3">
      <c r="I1174" t="str">
        <f t="shared" si="237"/>
        <v/>
      </c>
      <c r="J1174" t="str">
        <f t="shared" si="238"/>
        <v/>
      </c>
      <c r="K1174" t="e">
        <f t="shared" si="245"/>
        <v>#N/A</v>
      </c>
      <c r="L1174" t="str">
        <f t="shared" si="239"/>
        <v/>
      </c>
      <c r="M1174" t="str">
        <f t="shared" si="240"/>
        <v/>
      </c>
      <c r="N1174" t="e">
        <f t="shared" si="246"/>
        <v>#N/A</v>
      </c>
      <c r="P1174">
        <f t="shared" si="241"/>
        <v>2</v>
      </c>
      <c r="Q1174" t="str">
        <f t="shared" ca="1" si="242"/>
        <v/>
      </c>
      <c r="R1174" t="str">
        <f t="shared" ca="1" si="243"/>
        <v/>
      </c>
      <c r="T1174">
        <f t="shared" si="244"/>
        <v>0</v>
      </c>
      <c r="V1174">
        <v>2</v>
      </c>
      <c r="W1174" t="str">
        <f t="shared" si="247"/>
        <v/>
      </c>
    </row>
    <row r="1175" spans="9:23" outlineLevel="2" x14ac:dyDescent="0.3">
      <c r="I1175" t="str">
        <f t="shared" si="237"/>
        <v/>
      </c>
      <c r="J1175" t="str">
        <f t="shared" si="238"/>
        <v/>
      </c>
      <c r="K1175" t="e">
        <f t="shared" si="245"/>
        <v>#N/A</v>
      </c>
      <c r="L1175" t="str">
        <f t="shared" si="239"/>
        <v/>
      </c>
      <c r="M1175" t="str">
        <f t="shared" si="240"/>
        <v/>
      </c>
      <c r="N1175" t="e">
        <f t="shared" si="246"/>
        <v>#N/A</v>
      </c>
      <c r="P1175">
        <f t="shared" si="241"/>
        <v>2</v>
      </c>
      <c r="Q1175" t="str">
        <f t="shared" ca="1" si="242"/>
        <v/>
      </c>
      <c r="R1175" t="str">
        <f t="shared" ca="1" si="243"/>
        <v/>
      </c>
      <c r="T1175">
        <f t="shared" si="244"/>
        <v>0</v>
      </c>
      <c r="V1175">
        <v>2</v>
      </c>
      <c r="W1175" t="str">
        <f t="shared" si="247"/>
        <v/>
      </c>
    </row>
    <row r="1176" spans="9:23" outlineLevel="2" x14ac:dyDescent="0.3">
      <c r="I1176" t="str">
        <f t="shared" si="237"/>
        <v/>
      </c>
      <c r="J1176" t="str">
        <f>IF(AND(I1177&gt;I1176,I1177&gt;I1180,I1177&gt;$D$5),I1177,"")</f>
        <v/>
      </c>
      <c r="K1176" t="e">
        <f t="shared" si="245"/>
        <v>#N/A</v>
      </c>
      <c r="L1176" t="str">
        <f t="shared" si="239"/>
        <v/>
      </c>
      <c r="M1176" t="str">
        <f>IF(AND(L1177&lt;L1176,L1177&lt;L1180,L1177&lt;$G$5),L1177,"")</f>
        <v/>
      </c>
      <c r="N1176" t="e">
        <f t="shared" si="246"/>
        <v>#N/A</v>
      </c>
      <c r="P1176">
        <f t="shared" si="241"/>
        <v>2</v>
      </c>
      <c r="Q1176" t="str">
        <f t="shared" ca="1" si="242"/>
        <v/>
      </c>
      <c r="R1176" t="str">
        <f t="shared" ca="1" si="243"/>
        <v/>
      </c>
      <c r="T1176">
        <f t="shared" si="244"/>
        <v>0</v>
      </c>
      <c r="V1176">
        <v>2</v>
      </c>
      <c r="W1176" t="str">
        <f t="shared" si="247"/>
        <v/>
      </c>
    </row>
    <row r="1177" spans="9:23" outlineLevel="2" x14ac:dyDescent="0.3">
      <c r="I1177" t="str">
        <f t="shared" si="237"/>
        <v/>
      </c>
      <c r="J1177" t="str">
        <f>IF(AND(I1180&gt;I1177,I1180&gt;I1181,I1180&gt;$D$5),I1180,"")</f>
        <v/>
      </c>
      <c r="K1177" t="e">
        <f t="shared" si="245"/>
        <v>#N/A</v>
      </c>
      <c r="L1177" t="str">
        <f t="shared" si="239"/>
        <v/>
      </c>
      <c r="M1177" t="str">
        <f>IF(AND(L1180&lt;L1177,L1180&lt;L1181,L1180&lt;$G$5),L1180,"")</f>
        <v/>
      </c>
      <c r="N1177" t="e">
        <f t="shared" si="246"/>
        <v>#N/A</v>
      </c>
      <c r="P1177">
        <f t="shared" si="241"/>
        <v>2</v>
      </c>
      <c r="Q1177" t="str">
        <f ca="1">IF(AND(A1180&gt;=0,A1177&lt;0),CELL("ROW",A1180),IF(AND(A1180&lt;0,A1177&gt;=0),CELL("ROW",A1180),""))</f>
        <v/>
      </c>
      <c r="R1177" t="str">
        <f t="shared" ca="1" si="243"/>
        <v/>
      </c>
      <c r="T1177">
        <f>S1180-S1177</f>
        <v>0</v>
      </c>
      <c r="V1177">
        <v>2</v>
      </c>
      <c r="W1177" t="str">
        <f t="shared" si="247"/>
        <v/>
      </c>
    </row>
    <row r="1178" spans="9:23" outlineLevel="1" x14ac:dyDescent="0.3">
      <c r="O1178" s="1" t="s">
        <v>27</v>
      </c>
      <c r="P1178">
        <f>SUBTOTAL(3,P1134:P1177)</f>
        <v>44</v>
      </c>
      <c r="V1178">
        <v>44</v>
      </c>
      <c r="W1178" t="str">
        <f t="shared" si="247"/>
        <v/>
      </c>
    </row>
    <row r="1179" spans="9:23" x14ac:dyDescent="0.3">
      <c r="O1179" s="1" t="s">
        <v>28</v>
      </c>
      <c r="P1179">
        <f>SUBTOTAL(3,P2:P1177)</f>
        <v>1137</v>
      </c>
      <c r="V1179">
        <v>1137</v>
      </c>
    </row>
  </sheetData>
  <conditionalFormatting sqref="A1:A1048576">
    <cfRule type="cellIs" dxfId="0" priority="2" operator="between">
      <formula>#REF!</formula>
      <formula>#REF!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FD77F-8220-4AF7-B5ED-0702C569AD28}">
  <sheetPr codeName="Sheet2"/>
  <dimension ref="A1:N2"/>
  <sheetViews>
    <sheetView workbookViewId="0">
      <selection activeCell="E1" sqref="E1"/>
    </sheetView>
  </sheetViews>
  <sheetFormatPr defaultRowHeight="14.4" x14ac:dyDescent="0.3"/>
  <sheetData>
    <row r="1" spans="1:14" x14ac:dyDescent="0.3">
      <c r="A1">
        <v>212.07</v>
      </c>
      <c r="B1">
        <v>-234.38</v>
      </c>
      <c r="C1">
        <v>8</v>
      </c>
      <c r="D1">
        <v>16</v>
      </c>
      <c r="E1" t="e">
        <f>0.5*#REF!*#REF!</f>
        <v>#REF!</v>
      </c>
      <c r="F1">
        <v>1757.85</v>
      </c>
      <c r="G1">
        <v>17.672499999999999</v>
      </c>
      <c r="H1">
        <v>12.474705882352941</v>
      </c>
      <c r="I1">
        <v>-19.531666666666666</v>
      </c>
      <c r="J1">
        <v>-14.64875</v>
      </c>
      <c r="K1">
        <v>10</v>
      </c>
      <c r="L1">
        <v>15</v>
      </c>
      <c r="M1">
        <v>4497.3684899999998</v>
      </c>
      <c r="N1">
        <v>3662.2656266666668</v>
      </c>
    </row>
    <row r="2" spans="1:14" x14ac:dyDescent="0.3">
      <c r="A2">
        <v>189.63</v>
      </c>
      <c r="B2">
        <v>-192.47</v>
      </c>
      <c r="C2">
        <v>256</v>
      </c>
      <c r="D2">
        <v>264</v>
      </c>
      <c r="E2" t="e">
        <f t="shared" ref="E2" si="0">0.5*#REF!*#REF!</f>
        <v>#REF!</v>
      </c>
      <c r="F2">
        <v>866.11500000000001</v>
      </c>
      <c r="G2">
        <v>12.641999999999999</v>
      </c>
      <c r="H2">
        <v>10.535</v>
      </c>
      <c r="I2">
        <v>-19.247</v>
      </c>
      <c r="J2">
        <v>-32.078333333333333</v>
      </c>
      <c r="K2">
        <v>16</v>
      </c>
      <c r="L2">
        <v>9</v>
      </c>
      <c r="M2">
        <v>2247.4710562499999</v>
      </c>
      <c r="N2">
        <v>4116.0778777777778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CHETAN_1BLINK(1)</vt:lpstr>
      <vt:lpstr>Classifier1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vinaymadhi</dc:creator>
  <cp:lastModifiedBy>kaushik budur</cp:lastModifiedBy>
  <dcterms:created xsi:type="dcterms:W3CDTF">2023-05-26T06:50:51Z</dcterms:created>
  <dcterms:modified xsi:type="dcterms:W3CDTF">2023-05-27T09:05:36Z</dcterms:modified>
</cp:coreProperties>
</file>